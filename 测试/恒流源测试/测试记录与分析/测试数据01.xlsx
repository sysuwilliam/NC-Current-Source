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in\Desktop\"/>
    </mc:Choice>
  </mc:AlternateContent>
  <xr:revisionPtr revIDLastSave="0" documentId="13_ncr:1_{B4E6B7CA-DA6A-4A55-AC85-F7F1BF785623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2" i="2"/>
</calcChain>
</file>

<file path=xl/sharedStrings.xml><?xml version="1.0" encoding="utf-8"?>
<sst xmlns="http://schemas.openxmlformats.org/spreadsheetml/2006/main" count="139" uniqueCount="82">
  <si>
    <t>输出电压</t>
    <phoneticPr fontId="1" type="noConversion"/>
  </si>
  <si>
    <t>DAC输入电压</t>
    <phoneticPr fontId="1" type="noConversion"/>
  </si>
  <si>
    <t>DAC1_Target</t>
    <phoneticPr fontId="1" type="noConversion"/>
  </si>
  <si>
    <t>DAC2_Target</t>
    <phoneticPr fontId="1" type="noConversion"/>
  </si>
  <si>
    <t>Vout+</t>
    <phoneticPr fontId="1" type="noConversion"/>
  </si>
  <si>
    <t>DAC1_actual</t>
    <phoneticPr fontId="1" type="noConversion"/>
  </si>
  <si>
    <t>I_ACTUAL</t>
    <phoneticPr fontId="1" type="noConversion"/>
  </si>
  <si>
    <t>DAC2_actual</t>
    <phoneticPr fontId="1" type="noConversion"/>
  </si>
  <si>
    <t>VOUT_P: 15348 mV | VOUT_N: 5858 mV | Vsense:  407 mV</t>
  </si>
  <si>
    <t>Vload : 9490 mV | VMOS  : 5451 mV</t>
  </si>
  <si>
    <t>I_actual: 205.518 mA | RLOAD : 46.176 Ohm</t>
  </si>
  <si>
    <t>--------------------------------------------------</t>
  </si>
  <si>
    <t>DAC1_Target: 1690 mV | DAC2_Target:  400 mV</t>
  </si>
  <si>
    <t>22:35:19:108</t>
  </si>
  <si>
    <t>ascii</t>
  </si>
  <si>
    <t>VOUT_P: 15349 mV | VOUT_N: 5868 mV | Vsense:  407 mV</t>
  </si>
  <si>
    <t>Vload : 9481 mV | VMOS  : 5461 mV</t>
  </si>
  <si>
    <t>I_actual: 205.581 mA | RLOAD : 46.118 Ohm</t>
  </si>
  <si>
    <t>22:35:22:081</t>
  </si>
  <si>
    <t>VOUT_P: 15363 mV | VOUT_N: 5868 mV | Vsense:  407 mV</t>
  </si>
  <si>
    <t>Vload : 9495 mV | VMOS  : 5461 mV</t>
  </si>
  <si>
    <t>I_actual: 205.427 mA | RLOAD : 46.220 Ohm</t>
  </si>
  <si>
    <t>VOUT_P: 14247 mV | VOUT_N: 2680 mV | Vsense:  508 mV</t>
  </si>
  <si>
    <t>Vload : 11567 mV | VMOS  : 2172 mV</t>
  </si>
  <si>
    <t>I_actual: 255.353 mA | RLOAD : 45.298 Ohm</t>
  </si>
  <si>
    <t>DAC1_Target: 1580 mV | DAC2_Target:  500 mV</t>
  </si>
  <si>
    <t>22:36:28:091</t>
  </si>
  <si>
    <t>VOUT_P: 14241 mV | VOUT_N: 2673 mV | Vsense:  507 mV</t>
  </si>
  <si>
    <t>Vload : 11568 mV | VMOS  : 2166 mV</t>
  </si>
  <si>
    <t>I_actual: 255.347 mA | RLOAD : 45.303 Ohm</t>
  </si>
  <si>
    <t>22:36:31:087</t>
  </si>
  <si>
    <t>VOUT_P: 14247 mV | VOUT_N: 2682 mV | Vsense:  509 mV</t>
  </si>
  <si>
    <t>Vload : 11565 mV | VMOS  : 2173 mV</t>
  </si>
  <si>
    <t>I_actual: 255.722 mA | RLOAD : 45.224 Ohm</t>
  </si>
  <si>
    <t>VOUT_P: 16534 mV | VOUT_N: 2677 mV | Vsense:  608 mV</t>
  </si>
  <si>
    <t>Vload : 13857 mV | VMOS  : 2069 mV</t>
  </si>
  <si>
    <t>I_actual: 306.492 mA | RLOAD : 45.211 Ohm</t>
  </si>
  <si>
    <t>DAC1_Target: 1810 mV | DAC2_Target:  600 mV</t>
  </si>
  <si>
    <t>22:37:34:101</t>
  </si>
  <si>
    <t>VOUT_P: 16534 mV | VOUT_N: 2641 mV | Vsense:  608 mV</t>
  </si>
  <si>
    <t>Vload : 13893 mV | VMOS  : 2033 mV</t>
  </si>
  <si>
    <t>I_actual: 305.877 mA | RLOAD : 45.420 Ohm</t>
  </si>
  <si>
    <t>22:37:37:098</t>
  </si>
  <si>
    <t>VOUT_P: 16518 mV | VOUT_N: 2546 mV | Vsense:  610 mV</t>
  </si>
  <si>
    <t>Vload : 13972 mV | VMOS  : 1936 mV</t>
  </si>
  <si>
    <t>I_actual: 306.149 mA | RLOAD : 45.637 Ohm</t>
  </si>
  <si>
    <t>VOUT_P: 19069 mV | VOUT_N: 2727 mV | Vsense:  708 mV</t>
  </si>
  <si>
    <t>Vload : 16342 mV | VMOS  : 2019 mV</t>
  </si>
  <si>
    <t>I_actual: 356.144 mA | RLOAD : 45.885 Ohm</t>
  </si>
  <si>
    <t>DAC1_Target: 2060 mV | DAC2_Target:  700 mV</t>
  </si>
  <si>
    <t>22:38:50:192</t>
  </si>
  <si>
    <t>VOUT_P: 19058 mV | VOUT_N: 2572 mV | Vsense:  708 mV</t>
  </si>
  <si>
    <t>Vload : 16486 mV | VMOS  : 1864 mV</t>
  </si>
  <si>
    <t>I_actual: 356.217 mA | RLOAD : 46.280 Ohm</t>
  </si>
  <si>
    <t>22:38:53:197</t>
  </si>
  <si>
    <t>VOUT_P: 19076 mV | VOUT_N: 2554 mV | Vsense:  708 mV</t>
  </si>
  <si>
    <t>Vload : 16522 mV | VMOS  : 1846 mV</t>
  </si>
  <si>
    <t>I_actual: 355.762 mA | RLOAD : 46.441 Ohm</t>
  </si>
  <si>
    <t>VOUT_P: 21324 mV | VOUT_N: 2499 mV | Vsense:  813 mV</t>
  </si>
  <si>
    <t>Vload : 18825 mV | VMOS  : 1686 mV</t>
  </si>
  <si>
    <t>I_actual: 408.801 mA | RLOAD : 46.049 Ohm</t>
  </si>
  <si>
    <t>DAC1_Target: 2280 mV | DAC2_Target:  800 mV</t>
  </si>
  <si>
    <t>22:40:32:191</t>
  </si>
  <si>
    <t>VOUT_P: 21320 mV | VOUT_N: 2437 mV | Vsense:  813 mV</t>
  </si>
  <si>
    <t>Vload : 18883 mV | VMOS  : 1624 mV</t>
  </si>
  <si>
    <t>I_actual: 408.347 mA | RLOAD : 46.242 Ohm</t>
  </si>
  <si>
    <t>22:40:34:088</t>
  </si>
  <si>
    <t>VOUT_P: 21325 mV | VOUT_N: 2428 mV | Vsense:  813 mV</t>
  </si>
  <si>
    <t>Vload : 18897 mV | VMOS  : 1615 mV</t>
  </si>
  <si>
    <t>I_actual: 409.036 mA | RLOAD : 46.198 Ohm</t>
  </si>
  <si>
    <t>VOUT_P: 22309 mV | VOUT_N: 1074 mV | Vsense:  914 mV</t>
  </si>
  <si>
    <t>Vload : 21235 mV | VMOS  : 160 mV</t>
  </si>
  <si>
    <t>I_actual: 458.266 mA | RLOAD : 46.337 Ohm</t>
  </si>
  <si>
    <t>DAC1_Target: 2510 mV | DAC2_Target:  900 mV</t>
  </si>
  <si>
    <t>22:41:45:084</t>
  </si>
  <si>
    <t>VOUT_P: 22283 mV | VOUT_N: 1053 mV | Vsense:  914 mV</t>
  </si>
  <si>
    <t>Vload : 21230 mV | VMOS  : 139 mV</t>
  </si>
  <si>
    <t>I_actual: 458.611 mA | RLOAD : 46.291 Ohm</t>
  </si>
  <si>
    <t>22:41:48:168</t>
  </si>
  <si>
    <t>VOUT_P: 22313 mV | VOUT_N: 1039 mV | Vsense:  914 mV</t>
  </si>
  <si>
    <t>Vload : 21274 mV | VMOS  : 125 mV</t>
  </si>
  <si>
    <t>I_actual: 459.023 mA | RLOAD : 46.346 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</si>
</sst>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Arial"/>
      <family val="2"/>
    </font>
    <font>
      <sz val="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87182852143482"/>
                  <c:y val="-0.115932852143482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Sheet1!$A$2:$A$22</c:f>
              <c:numCache>
                <c:formatCode>General</c:formatCode>
                <c:ptCount val="21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1.0900000000000001</c:v>
                </c:pt>
                <c:pt idx="5">
                  <c:v>1.18</c:v>
                </c:pt>
                <c:pt idx="6">
                  <c:v>1.38</c:v>
                </c:pt>
                <c:pt idx="7">
                  <c:v>1.48</c:v>
                </c:pt>
                <c:pt idx="8">
                  <c:v>1.58</c:v>
                </c:pt>
                <c:pt idx="9">
                  <c:v>1.68</c:v>
                </c:pt>
                <c:pt idx="10">
                  <c:v>1.78</c:v>
                </c:pt>
                <c:pt idx="11">
                  <c:v>1.98</c:v>
                </c:pt>
                <c:pt idx="12">
                  <c:v>2.08</c:v>
                </c:pt>
                <c:pt idx="13">
                  <c:v>2.1800000000000002</c:v>
                </c:pt>
                <c:pt idx="14">
                  <c:v>2.2799999999999998</c:v>
                </c:pt>
                <c:pt idx="15">
                  <c:v>2.38</c:v>
                </c:pt>
                <c:pt idx="16">
                  <c:v>2.48</c:v>
                </c:pt>
                <c:pt idx="17">
                  <c:v>2.58</c:v>
                </c:pt>
                <c:pt idx="18">
                  <c:v>2.68</c:v>
                </c:pt>
                <c:pt idx="19">
                  <c:v>2.78</c:v>
                </c:pt>
                <c:pt idx="20">
                  <c:v>2.88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24.28</c:v>
                </c:pt>
                <c:pt idx="1">
                  <c:v>23.268000000000001</c:v>
                </c:pt>
                <c:pt idx="2">
                  <c:v>22.257999999999999</c:v>
                </c:pt>
                <c:pt idx="3">
                  <c:v>21.257000000000001</c:v>
                </c:pt>
                <c:pt idx="4">
                  <c:v>20.353000000000002</c:v>
                </c:pt>
                <c:pt idx="5">
                  <c:v>19.449000000000002</c:v>
                </c:pt>
                <c:pt idx="6">
                  <c:v>17.425000000000001</c:v>
                </c:pt>
                <c:pt idx="7">
                  <c:v>16.417000000000002</c:v>
                </c:pt>
                <c:pt idx="8">
                  <c:v>15.401</c:v>
                </c:pt>
                <c:pt idx="9">
                  <c:v>14.388</c:v>
                </c:pt>
                <c:pt idx="10">
                  <c:v>13.375</c:v>
                </c:pt>
                <c:pt idx="11">
                  <c:v>11.484</c:v>
                </c:pt>
                <c:pt idx="12">
                  <c:v>10.346</c:v>
                </c:pt>
                <c:pt idx="13">
                  <c:v>9.3339999999999996</c:v>
                </c:pt>
                <c:pt idx="14">
                  <c:v>8.33</c:v>
                </c:pt>
                <c:pt idx="15">
                  <c:v>7.327</c:v>
                </c:pt>
                <c:pt idx="16">
                  <c:v>6.3159999999999998</c:v>
                </c:pt>
                <c:pt idx="17">
                  <c:v>5.4340000000000002</c:v>
                </c:pt>
                <c:pt idx="18">
                  <c:v>4.2930000000000001</c:v>
                </c:pt>
                <c:pt idx="19">
                  <c:v>3.6139999999999999</c:v>
                </c:pt>
                <c:pt idx="20">
                  <c:v>2.633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9-406F-8945-A6CB6708A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184927"/>
        <c:axId val="678929743"/>
      </c:scatterChart>
      <c:valAx>
        <c:axId val="63618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929743"/>
        <c:crosses val="autoZero"/>
        <c:crossBetween val="midCat"/>
      </c:valAx>
      <c:valAx>
        <c:axId val="67892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618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576407115777196"/>
          <c:w val="0.87753018372703417"/>
          <c:h val="0.712206911636045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Sheet2!$B$2:$B$15</c:f>
              <c:numCache>
                <c:formatCode>General</c:formatCode>
                <c:ptCount val="14"/>
                <c:pt idx="0">
                  <c:v>699.9</c:v>
                </c:pt>
                <c:pt idx="1">
                  <c:v>749.3</c:v>
                </c:pt>
                <c:pt idx="2">
                  <c:v>799.2</c:v>
                </c:pt>
                <c:pt idx="3">
                  <c:v>849.3</c:v>
                </c:pt>
                <c:pt idx="4">
                  <c:v>899.6</c:v>
                </c:pt>
                <c:pt idx="5">
                  <c:v>949.9</c:v>
                </c:pt>
                <c:pt idx="6">
                  <c:v>1000.2</c:v>
                </c:pt>
                <c:pt idx="7">
                  <c:v>1050.2</c:v>
                </c:pt>
                <c:pt idx="8">
                  <c:v>1100</c:v>
                </c:pt>
                <c:pt idx="9">
                  <c:v>1149.5999999999999</c:v>
                </c:pt>
                <c:pt idx="10">
                  <c:v>1199.7</c:v>
                </c:pt>
                <c:pt idx="11">
                  <c:v>1249.2</c:v>
                </c:pt>
                <c:pt idx="12">
                  <c:v>1299.0999999999999</c:v>
                </c:pt>
                <c:pt idx="13">
                  <c:v>1349.6</c:v>
                </c:pt>
              </c:numCache>
            </c:numRef>
          </c:xVal>
          <c:yVal>
            <c:numRef>
              <c:f>Sheet2!$C$2:$C$15</c:f>
              <c:numCache>
                <c:formatCode>General</c:formatCode>
                <c:ptCount val="14"/>
                <c:pt idx="0">
                  <c:v>5.21</c:v>
                </c:pt>
                <c:pt idx="1">
                  <c:v>5.7050000000000001</c:v>
                </c:pt>
                <c:pt idx="2">
                  <c:v>6.2050000000000001</c:v>
                </c:pt>
                <c:pt idx="3">
                  <c:v>6.7069999999999999</c:v>
                </c:pt>
                <c:pt idx="4">
                  <c:v>7.21</c:v>
                </c:pt>
                <c:pt idx="5">
                  <c:v>7.7140000000000004</c:v>
                </c:pt>
                <c:pt idx="6">
                  <c:v>8.2170000000000005</c:v>
                </c:pt>
                <c:pt idx="7">
                  <c:v>8.718</c:v>
                </c:pt>
                <c:pt idx="8">
                  <c:v>9.2159999999999993</c:v>
                </c:pt>
                <c:pt idx="9">
                  <c:v>9.7140000000000004</c:v>
                </c:pt>
                <c:pt idx="10">
                  <c:v>10.214</c:v>
                </c:pt>
                <c:pt idx="11">
                  <c:v>10.711</c:v>
                </c:pt>
                <c:pt idx="12">
                  <c:v>11.21</c:v>
                </c:pt>
                <c:pt idx="13">
                  <c:v>11.715999999999999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3-4B56-BFAD-0F6986EE6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670944"/>
        <c:axId val="1081669024"/>
      </c:scatterChart>
      <c:valAx>
        <c:axId val="108167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1669024"/>
        <c:crosses val="autoZero"/>
        <c:crossBetween val="midCat"/>
      </c:valAx>
      <c:valAx>
        <c:axId val="10816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167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alpha val="9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Sheet2!$F$9:$F$16</c:f>
              <c:numCache>
                <c:formatCode>General</c:formatCode>
                <c:ptCount val="8"/>
              </c:numCache>
            </c:numRef>
          </c:xVal>
          <c:yVal>
            <c:numRef>
              <c:f>Sheet2!$G$9:$G$16</c:f>
              <c:numCache>
                <c:formatCode>General</c:formatCode>
                <c:ptCount val="8"/>
                <c:pt idx="1">
                  <c:v>300.7</c:v>
                </c:pt>
                <c:pt idx="3">
                  <c:v>250.7</c:v>
                </c:pt>
                <c:pt idx="5">
                  <c:v>201.8</c:v>
                </c:pt>
                <c:pt idx="7">
                  <c:v>151.47999999999999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90-402B-819E-F520E34AE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390960"/>
        <c:axId val="1091391440"/>
      </c:scatterChart>
      <c:valAx>
        <c:axId val="109139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1391440"/>
        <c:crosses val="autoZero"/>
        <c:crossBetween val="midCat"/>
      </c:valAx>
      <c:valAx>
        <c:axId val="10913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139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563648293963256"/>
                  <c:y val="4.791484397783610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Sheet2!$E$20:$E$27</c:f>
              <c:numCache>
                <c:formatCode>General</c:formatCode>
                <c:ptCount val="8"/>
                <c:pt idx="0">
                  <c:v>110</c:v>
                </c:pt>
                <c:pt idx="1">
                  <c:v>100</c:v>
                </c:pt>
                <c:pt idx="2">
                  <c:v>90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  <c:pt idx="6">
                  <c:v>50</c:v>
                </c:pt>
                <c:pt idx="7">
                  <c:v>40</c:v>
                </c:pt>
              </c:numCache>
            </c:numRef>
          </c:xVal>
          <c:yVal>
            <c:numRef>
              <c:f>Sheet2!$G$20:$G$27</c:f>
              <c:numCache>
                <c:formatCode>General</c:formatCode>
                <c:ptCount val="8"/>
                <c:pt idx="0">
                  <c:v>56.46</c:v>
                </c:pt>
                <c:pt idx="1">
                  <c:v>51.77</c:v>
                </c:pt>
                <c:pt idx="2">
                  <c:v>46.71</c:v>
                </c:pt>
                <c:pt idx="3">
                  <c:v>41.43</c:v>
                </c:pt>
                <c:pt idx="4">
                  <c:v>36.14</c:v>
                </c:pt>
                <c:pt idx="5">
                  <c:v>31.08</c:v>
                </c:pt>
                <c:pt idx="6">
                  <c:v>26.35</c:v>
                </c:pt>
                <c:pt idx="7">
                  <c:v>21.64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C-4394-A709-EE4F97A05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001168"/>
        <c:axId val="1087999728"/>
      </c:scatterChart>
      <c:valAx>
        <c:axId val="108800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7999728"/>
        <c:crosses val="autoZero"/>
        <c:crossBetween val="midCat"/>
      </c:valAx>
      <c:valAx>
        <c:axId val="10879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800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545305</xdr:colOff>
      <xdr:row>3</xdr:row>
      <xdr:rowOff>159543</xdr:rowOff>
    </xdr:from>
    <xdr:to>
      <xdr:col>10</xdr:col>
      <xdr:colOff>583405</xdr:colOff>
      <xdr:row>19</xdr:row>
      <xdr:rowOff>83343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3DB1634-35E3-D59A-D69C-31CDCD7EC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416718</xdr:colOff>
      <xdr:row>31</xdr:row>
      <xdr:rowOff>138110</xdr:rowOff>
    </xdr:from>
    <xdr:to>
      <xdr:col>49</xdr:col>
      <xdr:colOff>454817</xdr:colOff>
      <xdr:row>47</xdr:row>
      <xdr:rowOff>59530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F909AED-82CB-B4C6-B477-C83761FD9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416719</xdr:colOff>
      <xdr:row>32</xdr:row>
      <xdr:rowOff>133350</xdr:rowOff>
    </xdr:from>
    <xdr:to>
      <xdr:col>47</xdr:col>
      <xdr:colOff>454818</xdr:colOff>
      <xdr:row>48</xdr:row>
      <xdr:rowOff>54768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A0E3135-05F9-459E-96BA-F1B8F8768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7143</xdr:colOff>
      <xdr:row>36</xdr:row>
      <xdr:rowOff>30956</xdr:rowOff>
    </xdr:from>
    <xdr:to>
      <xdr:col>51</xdr:col>
      <xdr:colOff>45242</xdr:colOff>
      <xdr:row>51</xdr:row>
      <xdr:rowOff>133348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79A5121-B509-A51C-6154-8A22CDA79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F2" sqref="F2"/>
    </sheetView>
  </sheetViews>
  <sheetFormatPr defaultRowHeight="13.9" x14ac:dyDescent="0.4"/>
  <cols>
    <col min="1" max="1" width="17.3984375" customWidth="1"/>
    <col min="2" max="2" width="16.1328125" customWidth="1"/>
  </cols>
  <sheetData>
    <row r="1" spans="1:2" x14ac:dyDescent="0.4">
      <c r="A1" t="s">
        <v>1</v>
      </c>
      <c r="B1" t="s">
        <v>0</v>
      </c>
    </row>
    <row r="2" spans="1:2" x14ac:dyDescent="0.4">
      <c r="A2">
        <v>0.7</v>
      </c>
      <c r="B2">
        <v>24.28</v>
      </c>
    </row>
    <row r="3" spans="1:2" x14ac:dyDescent="0.4">
      <c r="A3">
        <v>0.8</v>
      </c>
      <c r="B3">
        <v>23.268000000000001</v>
      </c>
    </row>
    <row r="4" spans="1:2" x14ac:dyDescent="0.4">
      <c r="A4">
        <v>0.9</v>
      </c>
      <c r="B4">
        <v>22.257999999999999</v>
      </c>
    </row>
    <row r="5" spans="1:2" x14ac:dyDescent="0.4">
      <c r="A5">
        <v>1</v>
      </c>
      <c r="B5">
        <v>21.257000000000001</v>
      </c>
    </row>
    <row r="6" spans="1:2" x14ac:dyDescent="0.4">
      <c r="A6">
        <v>1.0900000000000001</v>
      </c>
      <c r="B6">
        <v>20.353000000000002</v>
      </c>
    </row>
    <row r="7" spans="1:2" x14ac:dyDescent="0.4">
      <c r="A7">
        <v>1.18</v>
      </c>
      <c r="B7">
        <v>19.449000000000002</v>
      </c>
    </row>
    <row r="8" spans="1:2" x14ac:dyDescent="0.4">
      <c r="A8">
        <v>1.38</v>
      </c>
      <c r="B8">
        <v>17.425000000000001</v>
      </c>
    </row>
    <row r="9" spans="1:2" x14ac:dyDescent="0.4">
      <c r="A9">
        <v>1.48</v>
      </c>
      <c r="B9">
        <v>16.417000000000002</v>
      </c>
    </row>
    <row r="10" spans="1:2" x14ac:dyDescent="0.4">
      <c r="A10">
        <v>1.58</v>
      </c>
      <c r="B10">
        <v>15.401</v>
      </c>
    </row>
    <row r="11" spans="1:2" x14ac:dyDescent="0.4">
      <c r="A11">
        <v>1.68</v>
      </c>
      <c r="B11">
        <v>14.388</v>
      </c>
    </row>
    <row r="12" spans="1:2" x14ac:dyDescent="0.4">
      <c r="A12">
        <v>1.78</v>
      </c>
      <c r="B12">
        <v>13.375</v>
      </c>
    </row>
    <row r="13" spans="1:2" x14ac:dyDescent="0.4">
      <c r="A13">
        <v>1.98</v>
      </c>
      <c r="B13">
        <v>11.484</v>
      </c>
    </row>
    <row r="14" spans="1:2" x14ac:dyDescent="0.4">
      <c r="A14">
        <v>2.08</v>
      </c>
      <c r="B14">
        <v>10.346</v>
      </c>
    </row>
    <row r="15" spans="1:2" x14ac:dyDescent="0.4">
      <c r="A15">
        <v>2.1800000000000002</v>
      </c>
      <c r="B15">
        <v>9.3339999999999996</v>
      </c>
    </row>
    <row r="16" spans="1:2" x14ac:dyDescent="0.4">
      <c r="A16">
        <v>2.2799999999999998</v>
      </c>
      <c r="B16">
        <v>8.33</v>
      </c>
    </row>
    <row r="17" spans="1:2" x14ac:dyDescent="0.4">
      <c r="A17">
        <v>2.38</v>
      </c>
      <c r="B17">
        <v>7.327</v>
      </c>
    </row>
    <row r="18" spans="1:2" x14ac:dyDescent="0.4">
      <c r="A18">
        <v>2.48</v>
      </c>
      <c r="B18">
        <v>6.3159999999999998</v>
      </c>
    </row>
    <row r="19" spans="1:2" x14ac:dyDescent="0.4">
      <c r="A19">
        <v>2.58</v>
      </c>
      <c r="B19">
        <v>5.4340000000000002</v>
      </c>
    </row>
    <row r="20" spans="1:2" x14ac:dyDescent="0.4">
      <c r="A20">
        <v>2.68</v>
      </c>
      <c r="B20">
        <v>4.2930000000000001</v>
      </c>
    </row>
    <row r="21" spans="1:2" x14ac:dyDescent="0.4">
      <c r="A21">
        <v>2.78</v>
      </c>
      <c r="B21">
        <v>3.6139999999999999</v>
      </c>
    </row>
    <row r="22" spans="1:2" x14ac:dyDescent="0.4">
      <c r="A22">
        <v>2.88</v>
      </c>
      <c r="B22">
        <v>2.633</v>
      </c>
    </row>
    <row r="23" spans="1:2" x14ac:dyDescent="0.4">
      <c r="A23">
        <v>3.28</v>
      </c>
    </row>
    <row r="24" spans="1:2" x14ac:dyDescent="0.4">
      <c r="A24">
        <v>3.38</v>
      </c>
    </row>
    <row r="25" spans="1:2" x14ac:dyDescent="0.4">
      <c r="A25">
        <v>3.48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DFB7-A04B-4378-84D8-37D97F4EA88A}">
  <dimension ref="A1:AA30"/>
  <sheetViews>
    <sheetView tabSelected="1" zoomScale="85" zoomScaleNormal="85" workbookViewId="0">
      <selection activeCell="N8" sqref="N8"/>
    </sheetView>
  </sheetViews>
  <sheetFormatPr defaultRowHeight="13.9" x14ac:dyDescent="0.4"/>
  <cols>
    <col min="1" max="1" width="14.265625" customWidth="1"/>
    <col min="2" max="2" width="11.53125" customWidth="1"/>
    <col min="3" max="3" width="12.73046875" customWidth="1"/>
    <col min="5" max="5" width="12" customWidth="1"/>
    <col min="6" max="6" width="14.33203125" customWidth="1"/>
  </cols>
  <sheetData>
    <row r="1" spans="1:27" x14ac:dyDescent="0.4">
      <c r="A1" t="s">
        <v>2</v>
      </c>
      <c r="B1" t="s">
        <v>5</v>
      </c>
      <c r="C1" t="s">
        <v>4</v>
      </c>
      <c r="E1" t="s">
        <v>3</v>
      </c>
      <c r="F1" t="s">
        <v>7</v>
      </c>
      <c r="G1" t="s">
        <v>6</v>
      </c>
    </row>
    <row r="2" spans="1:27" x14ac:dyDescent="0.4">
      <c r="A2">
        <v>700</v>
      </c>
      <c r="B2">
        <v>699.9</v>
      </c>
      <c r="C2">
        <v>5.21</v>
      </c>
      <c r="E2">
        <v>1000</v>
      </c>
      <c r="J2">
        <v>150</v>
      </c>
      <c r="K2">
        <f>(J2*0.001*47+3.8)/10</f>
        <v>1.085</v>
      </c>
    </row>
    <row r="3" spans="1:27" x14ac:dyDescent="0.4">
      <c r="A3">
        <v>750</v>
      </c>
      <c r="B3">
        <v>749.3</v>
      </c>
      <c r="C3">
        <v>5.7050000000000001</v>
      </c>
      <c r="E3">
        <v>950</v>
      </c>
      <c r="J3">
        <v>200</v>
      </c>
      <c r="K3">
        <f t="shared" ref="K3:K9" si="0">(J3*0.001*47+3.8)/10</f>
        <v>1.3199999999999998</v>
      </c>
    </row>
    <row r="4" spans="1:27" x14ac:dyDescent="0.4">
      <c r="A4">
        <v>800</v>
      </c>
      <c r="B4">
        <v>799.2</v>
      </c>
      <c r="C4">
        <v>6.2050000000000001</v>
      </c>
      <c r="E4">
        <v>900</v>
      </c>
      <c r="G4">
        <v>449.5</v>
      </c>
      <c r="J4">
        <v>250</v>
      </c>
      <c r="K4">
        <f t="shared" si="0"/>
        <v>1.5550000000000002</v>
      </c>
    </row>
    <row r="5" spans="1:27" x14ac:dyDescent="0.4">
      <c r="A5">
        <v>850</v>
      </c>
      <c r="B5">
        <v>849.3</v>
      </c>
      <c r="C5">
        <v>6.7069999999999999</v>
      </c>
      <c r="E5">
        <v>850</v>
      </c>
      <c r="J5">
        <v>300</v>
      </c>
      <c r="K5">
        <f t="shared" si="0"/>
        <v>1.7899999999999998</v>
      </c>
    </row>
    <row r="6" spans="1:27" x14ac:dyDescent="0.4">
      <c r="A6">
        <v>900</v>
      </c>
      <c r="B6">
        <v>899.6</v>
      </c>
      <c r="C6">
        <v>7.21</v>
      </c>
      <c r="E6">
        <v>800</v>
      </c>
      <c r="G6">
        <v>400.5</v>
      </c>
      <c r="J6">
        <v>350</v>
      </c>
      <c r="K6">
        <f t="shared" si="0"/>
        <v>2.0250000000000004</v>
      </c>
    </row>
    <row r="7" spans="1:27" x14ac:dyDescent="0.4">
      <c r="A7">
        <v>950</v>
      </c>
      <c r="B7">
        <v>949.9</v>
      </c>
      <c r="C7">
        <v>7.7140000000000004</v>
      </c>
      <c r="E7">
        <v>750</v>
      </c>
      <c r="J7">
        <v>400</v>
      </c>
      <c r="K7">
        <f t="shared" si="0"/>
        <v>2.2600000000000002</v>
      </c>
    </row>
    <row r="8" spans="1:27" x14ac:dyDescent="0.4">
      <c r="A8">
        <v>1000</v>
      </c>
      <c r="B8">
        <v>1000.2</v>
      </c>
      <c r="C8">
        <v>8.2170000000000005</v>
      </c>
      <c r="E8">
        <v>700</v>
      </c>
      <c r="G8">
        <v>349.7</v>
      </c>
      <c r="J8">
        <v>450</v>
      </c>
      <c r="K8">
        <f t="shared" si="0"/>
        <v>2.4950000000000001</v>
      </c>
    </row>
    <row r="9" spans="1:27" ht="19.149999999999999" x14ac:dyDescent="0.4">
      <c r="A9">
        <v>1050</v>
      </c>
      <c r="B9">
        <v>1050.2</v>
      </c>
      <c r="C9">
        <v>8.718</v>
      </c>
      <c r="E9">
        <v>650</v>
      </c>
      <c r="J9">
        <v>500</v>
      </c>
      <c r="K9">
        <f t="shared" si="0"/>
        <v>2.73</v>
      </c>
      <c r="Q9" s="1" t="s">
        <v>8</v>
      </c>
      <c r="S9" s="1" t="s">
        <v>11</v>
      </c>
      <c r="U9" s="1" t="s">
        <v>11</v>
      </c>
      <c r="W9" s="1" t="s">
        <v>11</v>
      </c>
      <c r="Y9" s="1" t="s">
        <v>11</v>
      </c>
      <c r="AA9" s="1" t="s">
        <v>11</v>
      </c>
    </row>
    <row r="10" spans="1:27" ht="19.149999999999999" x14ac:dyDescent="0.4">
      <c r="A10">
        <v>1100</v>
      </c>
      <c r="B10">
        <v>1100</v>
      </c>
      <c r="C10">
        <v>9.2159999999999993</v>
      </c>
      <c r="E10">
        <v>600</v>
      </c>
      <c r="G10">
        <v>300.7</v>
      </c>
      <c r="Q10" s="1" t="s">
        <v>9</v>
      </c>
      <c r="S10" s="1" t="s">
        <v>22</v>
      </c>
      <c r="U10" s="1" t="s">
        <v>34</v>
      </c>
      <c r="W10" s="1" t="s">
        <v>46</v>
      </c>
      <c r="Y10" s="1" t="s">
        <v>58</v>
      </c>
      <c r="AA10" s="1" t="s">
        <v>70</v>
      </c>
    </row>
    <row r="11" spans="1:27" x14ac:dyDescent="0.4">
      <c r="A11">
        <v>1150</v>
      </c>
      <c r="B11">
        <v>1149.5999999999999</v>
      </c>
      <c r="C11">
        <v>9.7140000000000004</v>
      </c>
      <c r="E11">
        <v>550</v>
      </c>
      <c r="Q11" s="1" t="s">
        <v>10</v>
      </c>
      <c r="S11" s="1" t="s">
        <v>23</v>
      </c>
      <c r="U11" s="1" t="s">
        <v>35</v>
      </c>
      <c r="W11" s="1" t="s">
        <v>47</v>
      </c>
      <c r="Y11" s="1" t="s">
        <v>59</v>
      </c>
      <c r="AA11" s="1" t="s">
        <v>71</v>
      </c>
    </row>
    <row r="12" spans="1:27" x14ac:dyDescent="0.4">
      <c r="A12">
        <v>1200</v>
      </c>
      <c r="B12">
        <v>1199.7</v>
      </c>
      <c r="C12">
        <v>10.214</v>
      </c>
      <c r="E12">
        <v>500</v>
      </c>
      <c r="G12">
        <v>250.7</v>
      </c>
      <c r="Q12" s="1" t="s">
        <v>11</v>
      </c>
      <c r="S12" s="1" t="s">
        <v>24</v>
      </c>
      <c r="U12" s="1" t="s">
        <v>36</v>
      </c>
      <c r="W12" s="1" t="s">
        <v>48</v>
      </c>
      <c r="Y12" s="1" t="s">
        <v>60</v>
      </c>
      <c r="AA12" s="1" t="s">
        <v>72</v>
      </c>
    </row>
    <row r="13" spans="1:27" ht="19.149999999999999" x14ac:dyDescent="0.4">
      <c r="A13">
        <v>1250</v>
      </c>
      <c r="B13">
        <v>1249.2</v>
      </c>
      <c r="C13">
        <v>10.711</v>
      </c>
      <c r="E13">
        <v>450</v>
      </c>
      <c r="Q13" s="1" t="s">
        <v>12</v>
      </c>
      <c r="S13" s="1" t="s">
        <v>11</v>
      </c>
      <c r="U13" s="1" t="s">
        <v>11</v>
      </c>
      <c r="W13" s="1" t="s">
        <v>11</v>
      </c>
      <c r="Y13" s="1" t="s">
        <v>11</v>
      </c>
      <c r="AA13" s="1" t="s">
        <v>11</v>
      </c>
    </row>
    <row r="14" spans="1:27" ht="19.149999999999999" x14ac:dyDescent="0.4">
      <c r="A14">
        <v>1300</v>
      </c>
      <c r="B14">
        <v>1299.0999999999999</v>
      </c>
      <c r="C14">
        <v>11.21</v>
      </c>
      <c r="E14">
        <v>400</v>
      </c>
      <c r="G14">
        <v>201.8</v>
      </c>
      <c r="Q14" s="1" t="s">
        <v>13</v>
      </c>
      <c r="S14" s="1" t="s">
        <v>25</v>
      </c>
      <c r="U14" s="1" t="s">
        <v>37</v>
      </c>
      <c r="W14" s="1" t="s">
        <v>49</v>
      </c>
      <c r="Y14" s="1" t="s">
        <v>61</v>
      </c>
      <c r="AA14" s="1" t="s">
        <v>73</v>
      </c>
    </row>
    <row r="15" spans="1:27" ht="17.25" x14ac:dyDescent="0.4">
      <c r="A15">
        <v>1350</v>
      </c>
      <c r="B15">
        <v>1349.6</v>
      </c>
      <c r="C15">
        <v>11.715999999999999</v>
      </c>
      <c r="E15">
        <v>350</v>
      </c>
      <c r="Q15" s="2" t="s">
        <v>14</v>
      </c>
      <c r="S15" s="1" t="s">
        <v>26</v>
      </c>
      <c r="U15" s="1" t="s">
        <v>38</v>
      </c>
      <c r="W15" s="1" t="s">
        <v>50</v>
      </c>
      <c r="Y15" s="1" t="s">
        <v>62</v>
      </c>
      <c r="AA15" s="1" t="s">
        <v>74</v>
      </c>
    </row>
    <row r="16" spans="1:27" ht="17.25" x14ac:dyDescent="0.4">
      <c r="A16">
        <v>1400</v>
      </c>
      <c r="B16">
        <v>1400</v>
      </c>
      <c r="E16">
        <v>300</v>
      </c>
      <c r="G16">
        <v>151.47999999999999</v>
      </c>
      <c r="H16">
        <v>155.38300000000001</v>
      </c>
      <c r="Q16" s="1" t="s">
        <v>11</v>
      </c>
      <c r="S16" s="2" t="s">
        <v>14</v>
      </c>
      <c r="U16" s="2" t="s">
        <v>14</v>
      </c>
      <c r="W16" s="2" t="s">
        <v>14</v>
      </c>
      <c r="Y16" s="2" t="s">
        <v>14</v>
      </c>
      <c r="AA16" s="2" t="s">
        <v>14</v>
      </c>
    </row>
    <row r="17" spans="1:27" ht="19.149999999999999" x14ac:dyDescent="0.4">
      <c r="A17">
        <v>1450</v>
      </c>
      <c r="E17">
        <v>250</v>
      </c>
      <c r="Q17" s="1" t="s">
        <v>15</v>
      </c>
      <c r="S17" s="1" t="s">
        <v>11</v>
      </c>
      <c r="U17" s="1" t="s">
        <v>11</v>
      </c>
      <c r="W17" s="1" t="s">
        <v>11</v>
      </c>
      <c r="Y17" s="1" t="s">
        <v>11</v>
      </c>
      <c r="AA17" s="1" t="s">
        <v>11</v>
      </c>
    </row>
    <row r="18" spans="1:27" ht="19.149999999999999" x14ac:dyDescent="0.4">
      <c r="A18">
        <v>1500</v>
      </c>
      <c r="E18">
        <v>200</v>
      </c>
      <c r="Q18" s="1" t="s">
        <v>16</v>
      </c>
      <c r="S18" s="1" t="s">
        <v>27</v>
      </c>
      <c r="U18" s="1" t="s">
        <v>39</v>
      </c>
      <c r="W18" s="1" t="s">
        <v>51</v>
      </c>
      <c r="Y18" s="1" t="s">
        <v>63</v>
      </c>
      <c r="AA18" s="1" t="s">
        <v>75</v>
      </c>
    </row>
    <row r="19" spans="1:27" x14ac:dyDescent="0.4">
      <c r="A19">
        <v>1550</v>
      </c>
      <c r="E19">
        <v>150</v>
      </c>
      <c r="Q19" s="1" t="s">
        <v>17</v>
      </c>
      <c r="S19" s="1" t="s">
        <v>28</v>
      </c>
      <c r="U19" s="1" t="s">
        <v>40</v>
      </c>
      <c r="W19" s="1" t="s">
        <v>52</v>
      </c>
      <c r="Y19" s="1" t="s">
        <v>64</v>
      </c>
      <c r="AA19" s="1" t="s">
        <v>76</v>
      </c>
    </row>
    <row r="20" spans="1:27" x14ac:dyDescent="0.4">
      <c r="A20">
        <v>1600</v>
      </c>
      <c r="E20">
        <v>110</v>
      </c>
      <c r="F20">
        <v>113.65</v>
      </c>
      <c r="G20">
        <v>56.46</v>
      </c>
      <c r="Q20" s="1" t="s">
        <v>11</v>
      </c>
      <c r="S20" s="1" t="s">
        <v>29</v>
      </c>
      <c r="U20" s="1" t="s">
        <v>41</v>
      </c>
      <c r="W20" s="1" t="s">
        <v>53</v>
      </c>
      <c r="Y20" s="1" t="s">
        <v>65</v>
      </c>
      <c r="AA20" s="1" t="s">
        <v>77</v>
      </c>
    </row>
    <row r="21" spans="1:27" ht="19.149999999999999" x14ac:dyDescent="0.4">
      <c r="A21">
        <v>1650</v>
      </c>
      <c r="E21">
        <v>100</v>
      </c>
      <c r="F21">
        <v>104.2</v>
      </c>
      <c r="G21">
        <v>51.77</v>
      </c>
      <c r="Q21" s="1" t="s">
        <v>12</v>
      </c>
      <c r="S21" s="1" t="s">
        <v>11</v>
      </c>
      <c r="U21" s="1" t="s">
        <v>11</v>
      </c>
      <c r="W21" s="1" t="s">
        <v>11</v>
      </c>
      <c r="Y21" s="1" t="s">
        <v>11</v>
      </c>
      <c r="AA21" s="1" t="s">
        <v>11</v>
      </c>
    </row>
    <row r="22" spans="1:27" ht="19.149999999999999" x14ac:dyDescent="0.4">
      <c r="A22">
        <v>1700</v>
      </c>
      <c r="E22">
        <v>90</v>
      </c>
      <c r="F22">
        <v>94</v>
      </c>
      <c r="G22">
        <v>46.71</v>
      </c>
      <c r="Q22" s="1" t="s">
        <v>18</v>
      </c>
      <c r="S22" s="1" t="s">
        <v>25</v>
      </c>
      <c r="U22" s="1" t="s">
        <v>37</v>
      </c>
      <c r="W22" s="1" t="s">
        <v>49</v>
      </c>
      <c r="Y22" s="1" t="s">
        <v>61</v>
      </c>
      <c r="AA22" s="1" t="s">
        <v>73</v>
      </c>
    </row>
    <row r="23" spans="1:27" ht="17.25" x14ac:dyDescent="0.4">
      <c r="E23">
        <v>80</v>
      </c>
      <c r="F23">
        <v>83.38</v>
      </c>
      <c r="G23">
        <v>41.43</v>
      </c>
      <c r="Q23" s="2" t="s">
        <v>14</v>
      </c>
      <c r="S23" s="1" t="s">
        <v>30</v>
      </c>
      <c r="U23" s="1" t="s">
        <v>42</v>
      </c>
      <c r="W23" s="1" t="s">
        <v>54</v>
      </c>
      <c r="Y23" s="1" t="s">
        <v>66</v>
      </c>
      <c r="AA23" s="1" t="s">
        <v>78</v>
      </c>
    </row>
    <row r="24" spans="1:27" ht="17.25" x14ac:dyDescent="0.4">
      <c r="E24">
        <v>70</v>
      </c>
      <c r="F24">
        <v>72.739999999999995</v>
      </c>
      <c r="G24">
        <v>36.14</v>
      </c>
      <c r="Q24" s="1" t="s">
        <v>11</v>
      </c>
      <c r="S24" s="2" t="s">
        <v>14</v>
      </c>
      <c r="U24" s="2" t="s">
        <v>14</v>
      </c>
      <c r="W24" s="2" t="s">
        <v>14</v>
      </c>
      <c r="Y24" s="2" t="s">
        <v>14</v>
      </c>
      <c r="AA24" s="2" t="s">
        <v>14</v>
      </c>
    </row>
    <row r="25" spans="1:27" ht="19.149999999999999" x14ac:dyDescent="0.4">
      <c r="E25">
        <v>60</v>
      </c>
      <c r="F25">
        <v>62.55</v>
      </c>
      <c r="G25">
        <v>31.08</v>
      </c>
      <c r="Q25" s="1" t="s">
        <v>19</v>
      </c>
      <c r="S25" s="1" t="s">
        <v>11</v>
      </c>
      <c r="U25" s="1" t="s">
        <v>11</v>
      </c>
      <c r="W25" s="1" t="s">
        <v>11</v>
      </c>
      <c r="Y25" s="1" t="s">
        <v>11</v>
      </c>
      <c r="AA25" s="1" t="s">
        <v>11</v>
      </c>
    </row>
    <row r="26" spans="1:27" ht="19.149999999999999" x14ac:dyDescent="0.4">
      <c r="E26">
        <v>50</v>
      </c>
      <c r="F26">
        <v>53.03</v>
      </c>
      <c r="G26">
        <v>26.35</v>
      </c>
      <c r="Q26" s="1" t="s">
        <v>20</v>
      </c>
      <c r="S26" s="1" t="s">
        <v>31</v>
      </c>
      <c r="U26" s="1" t="s">
        <v>43</v>
      </c>
      <c r="W26" s="1" t="s">
        <v>55</v>
      </c>
      <c r="Y26" s="1" t="s">
        <v>67</v>
      </c>
      <c r="AA26" s="1" t="s">
        <v>79</v>
      </c>
    </row>
    <row r="27" spans="1:27" x14ac:dyDescent="0.4">
      <c r="E27">
        <v>40</v>
      </c>
      <c r="F27">
        <v>43.53</v>
      </c>
      <c r="G27">
        <v>21.64</v>
      </c>
      <c r="Q27" s="1" t="s">
        <v>21</v>
      </c>
      <c r="S27" s="1" t="s">
        <v>32</v>
      </c>
      <c r="U27" s="1" t="s">
        <v>44</v>
      </c>
      <c r="W27" s="1" t="s">
        <v>56</v>
      </c>
      <c r="Y27" s="1" t="s">
        <v>68</v>
      </c>
      <c r="AA27" s="1" t="s">
        <v>80</v>
      </c>
    </row>
    <row r="28" spans="1:27" x14ac:dyDescent="0.4">
      <c r="Q28" s="1" t="s">
        <v>11</v>
      </c>
      <c r="S28" s="1" t="s">
        <v>33</v>
      </c>
      <c r="U28" s="1" t="s">
        <v>45</v>
      </c>
      <c r="W28" s="1" t="s">
        <v>57</v>
      </c>
      <c r="Y28" s="1" t="s">
        <v>69</v>
      </c>
      <c r="AA28" s="1" t="s">
        <v>81</v>
      </c>
    </row>
    <row r="29" spans="1:27" ht="19.149999999999999" x14ac:dyDescent="0.4">
      <c r="Q29" s="1" t="s">
        <v>12</v>
      </c>
      <c r="S29" s="1" t="s">
        <v>11</v>
      </c>
      <c r="U29" s="1" t="s">
        <v>11</v>
      </c>
      <c r="W29" s="1" t="s">
        <v>11</v>
      </c>
      <c r="Y29" s="1" t="s">
        <v>11</v>
      </c>
      <c r="AA29" s="1" t="s">
        <v>11</v>
      </c>
    </row>
    <row r="30" spans="1:27" ht="19.149999999999999" x14ac:dyDescent="0.4">
      <c r="S30" s="1" t="s">
        <v>25</v>
      </c>
      <c r="U30" s="1" t="s">
        <v>37</v>
      </c>
      <c r="W30" s="1" t="s">
        <v>49</v>
      </c>
      <c r="Y30" s="1" t="s">
        <v>61</v>
      </c>
      <c r="AA30" s="1" t="s">
        <v>73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先生 卢</cp:lastModifiedBy>
  <dcterms:created xsi:type="dcterms:W3CDTF">2015-06-05T18:19:34Z</dcterms:created>
  <dcterms:modified xsi:type="dcterms:W3CDTF">2026-05-31T14:42:43Z</dcterms:modified>
</cp:coreProperties>
</file>