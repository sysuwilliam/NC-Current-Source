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WechatFiles\xwechat_files\wxid_g1fxils7md0q12_66bb\msg\file\2026-06\"/>
    </mc:Choice>
  </mc:AlternateContent>
  <xr:revisionPtr revIDLastSave="0" documentId="13_ncr:1_{168933D8-6018-4EBC-AB48-AC586781B1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新建 XLS 工作表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<sst xmlns="http://schemas.openxmlformats.org/spreadsheetml/2006/main" count="24" uniqueCount="20">
  <si>
    <t>DAC2_mea_mV</t>
  </si>
  <si>
    <t>DAC2_cmd</t>
  </si>
  <si>
    <t>I_set_mA</t>
  </si>
  <si>
    <t>I_meas_mA</t>
  </si>
  <si>
    <t xml:space="preserve">Vsense_serial_mV </t>
  </si>
  <si>
    <t xml:space="preserve">I_serial_mA           </t>
  </si>
  <si>
    <t>VOUTP_meas_V</t>
  </si>
  <si>
    <t>VOUTN_meas_V</t>
  </si>
  <si>
    <t>VOUTP_serial_V</t>
  </si>
  <si>
    <t>VOUTN_serial_V</t>
  </si>
  <si>
    <t>Rload_nominal_Ω</t>
  </si>
  <si>
    <t xml:space="preserve">--------------------------------------------------
VOUT_P: 4587 mV | VOUT_N: 2033 mV | Vsense:   97 mV
Vload : 2554 mV | VMOS  : 1936 mV
I_actual: 50.538 mA | RLOAD : 50.536 Ohm
--------------------------------------------------
DAC1_Target:  630 mV | DAC2_Target:   95 mV
--------------------------------------------------
VOUT_P: 4587 mV | VOUT_N: 2039 mV | Vsense:   97 mV
Vload : 2548 mV | VMOS  : 1942 mV
I_actual: 49.935 mA | RLOAD : 51.026 Ohm
--------------------------------------------------
DAC1_Target:  630 mV | DAC2_Target:   95 mV
--------------------------------------------------
VOUT_P: 4578 mV | VOUT_N: 2012 mV | Vsense:   98 mV
Vload : 2566 mV | VMOS  : 1914 mV
I_actual: 51.222 mA | RLOAD : 50.095 Ohm
--------------------------------------------------
DAC1_Target:  630 mV | DAC2_Target:   95 mV
--------------------------------------------------
VOUT_P: 4577 mV | VOUT_N: 2019 mV | Vsense:   97 mV
Vload : 2558 mV | VMOS  : 1922 mV
I_actual: 51.217 mA | RLOAD : 49.944 Ohm
--------------------------------------------------
DAC1_Target:  630 mV | DAC2_Target:   95 mV
--------------------------------------------------
VOUT_P: 4580 mV | VOUT_N: 2033 mV | Vsense:   97 mV
Vload : 2547 mV | VMOS  : 1936 mV
I_actual: 51.181 mA | RLOAD : 49.764 Ohm
--------------------------------------------------
DAC1_Target:  630 mV | DAC2_Target:   95 mV
--------------------------------------------------
VOUT_P: 4570 mV | VOUT_N: 2025 mV | Vsense:   98 mV
Vload : 2545 mV | VMOS  : 1927 mV
I_actual: 51.258 mA | RLOAD : 49.650 Ohm
--------------------------------------------------
DAC1_Target:  630 mV | DAC2_Target:   95 mV
--------------------------------------------------
VOUT_P: 4571 mV | VOUT_N: 2030 mV | Vsense:   98 mV
Vload : 2541 mV | VMOS  : 1932 mV
I_actual: 50.566 mA | RLOAD : 50.251 Ohm
--------------------------------------------------
DAC1_Target:  630 mV | DAC2_Target:   95 mV
--------------------------------------------------
VOUT_P: 4562 mV | VOUT_N: 2042 mV | Vsense:   98 mV
Vload : 2520 mV | VMOS  : 1944 mV
I_actual: 50.783 mA | RLOAD : 49.622 Ohm
--------------------------------------------------
DAC1_Target:  630 mV | DAC2_Target:   95 mV
--------------------------------------------------
VOUT_P: 4577 mV | VOUT_N: 2031 mV | Vsense:   98 mV
Vload : 2546 mV | VMOS  : 1933 mV
I_actual: 51.491 mA | RLOAD : 49.445 Ohm
--------------------------------------------------
DAC1_Target:  630 mV | DAC2_Target:   95 mV
--------------------------------------------------
VOUT_P: 4576 mV | VOUT_N: 2008 mV | Vsense:   98 mV
Vload : 2568 mV | VMOS  : 1910 mV
I_actual: 50.367 mA | RLOAD : 50.985 Ohm
--------------------------------------------------
DAC1_Target:  630 mV | DAC2_Target:   95 mV
--------------------------------------------------
VOUT_P: 4574 mV | VOUT_N: 2007 mV | Vsense:   98 mV
Vload : 2567 mV | VMOS  : 1909 mV
I_actual: 50.357 mA | RLOAD : 50.976 Ohm
--------------------------------------------------
DAC1_Target:  630 mV | DAC2_Target:   95 mV
--------------------------------------------------
VOUT_P: 4566 mV | VOUT_N: 1996 mV | Vsense:   98 mV
Vload : 2570 mV | VMOS  : 1898 mV
I_actual: 51.225 mA | RLOAD : 50.170 Ohm
--------------------------------------------------
DAC1_Target:  630 mV | DAC2_Target:   95 mV
--------------------------------------------------
VOUT_P: 4584 mV | VOUT_N: 2002 mV | Vsense:   97 mV
Vload : 2582 mV | VMOS  : 1905 mV
I_actual: 50.929 mA | RLOAD : 50.698 Ohm
--------------------------------------------------
DAC1_Target:  630 mV | DAC2_Target:   95 mV
--------------------------------------------------
VOUT_P: 4581 mV | VOUT_N: 2008 mV | Vsense:   98 mV
Vload : 2573 mV | VMOS  : 1910 mV
I_actual: 51.036 mA | RLOAD : 50.415 Ohm
--------------------------------------------------
DAC1_Target:  630 mV | DAC2_Target:   95 mV
--------------------------------------------------
VOUT_P: 4580 mV | VOUT_N: 2005 mV | Vsense:   98 mV
Vload : 2575 mV | VMOS  : 1907 mV
I_actual: 50.990 mA | RLOAD : 50.500 Ohm
--------------------------------------------------
DAC1_Target:  630 mV | DAC2_Target:   95 mV
--------------------------------------------------
VOUT_P: 4576 mV | VOUT_N: 2008 mV | Vsense:   98 mV
Vload : 2568 mV | VMOS  : 1910 mV
I_actual: 50.817 mA | RLOAD : 50.534 Ohm
--------------------------------------------------
DAC1_Target:  630 mV | DAC2_Target:   95 mV
--------------------------------------------------
VOUT_P: 4584 mV | VOUT_N: 2017 mV | Vsense:   98 mV
Vload : 2567 mV | VMOS  : 1919 mV
I_actual: 51.519 mA | RLOAD : 49.826 Ohm
--------------------------------------------------
DAC1_Target:  630 mV | DAC2_Target:   95 mV
--------------------------------------------------
VOUT_P: 4582 mV | VOUT_N: 2026 mV | Vsense:   98 mV
Vload : 2556 mV | VMOS  : 1928 mV
I_actual: 51.568 mA | RLOAD : 49.565 Ohm
--------------------------------------------------
DAC1_Target:  630 mV | DAC2_Target:   95 mV
--------------------------------------------------
VOUT_P: 4574 mV | VOUT_N: 1999 mV | Vsense:   98 mV
Vload : 2575 mV | VMOS  : 1901 mV
I_actual: 51.274 mA | RLOAD : 50.220 Ohm
--------------------------------------------------
DAC1_Target:  630 mV | DAC2_Target:   95 mV
--------------------------------------------------
VOUT_P: 4570 mV | VOUT_N: 2005 mV | Vsense:   98 mV
Vload : 2565 mV | VMOS  : 1907 mV
I_actual: 50.705 mA | RLOAD : 50.586 Ohm
--------------------------------------------------
DAC1_Target:  630 mV | DAC2_Target:   95 mV
--------------------------------------------------
VOUT_P: 4591 mV | VOUT_N: 2007 mV | Vsense:   98 mV
Vload : 2584 mV | VMOS  : 1909 mV
I_actual: 51.554 mA | RLOAD : 50.122 Ohm
--------------------------------------------------
DAC1_Target:  630 mV | DAC2_Target:   95 mV
--------------------------------------------------
VOUT_P: 4565 mV | VOUT_N: 1997 mV | Vsense:   98 mV
Vload : 2568 mV | VMOS  : 1899 mV
I_actual: 51.367 mA | RLOAD : 49.993 Ohm
--------------------------------------------------
DAC1_Target:  630 mV | DAC2_Target:   95 mV
--------------------------------------------------
VOUT_P: 4577 mV | VOUT_N: 2002 mV | Vsense:   98 mV
Vload : 2575 mV | VMOS  : 1904 mV
I_actual: 50.569 mA | RLOAD : 50.920 Ohm
--------------------------------------------------
DAC1_Target:  630 mV | DAC2_Target:   95 mV
--------------------------------------------------
VOUT_P: 4592 mV | VOUT_N: 2021 mV | Vsense:   98 mV
Vload : 2571 mV | VMOS  : 1923 mV
I_actual: 51.306 mA | RLOAD : 50.111 Ohm
--------------------------------------------------
DAC1_Target:  630 mV | DAC2_Target:   95 mV
--------------------------------------------------
VOUT_P: 4580 mV | VOUT_N: 2021 mV | Vsense:   97 mV
Vload : 2559 mV | VMOS  : 1924 mV
I_actual: 50.790 mA | RLOAD : 50.383 Ohm
--------------------------------------------------
DAC1_Target:  630 mV | DAC2_Target:   95 mV
--------------------------------------------------
VOUT_P: 4578 mV | VOUT_N: 2050 mV | Vsense:   98 mV
Vload : 2528 mV | VMOS  : 1952 mV
I_actual: 51.183 mA | RLOAD : 49.391 Ohm
--------------------------------------------------
DAC1_Target:  630 mV | DAC2_Target:   95 mV
--------------------------------------------------
VOUT_P: 4575 mV | VOUT_N: 2029 mV | Vsense:   98 mV
Vload : 2546 mV | VMOS  : 1931 mV
I_actual: 51.078 mA | RLOAD : 49.845 Ohm
--------------------------------------------------
DAC1_Target:  630 mV | DAC2_Target:   95 mV
--------------------------------------------------
VOUT_P: 4569 mV | VOUT_N: 2031 mV | Vsense:   98 mV
Vload : 2538 mV | VMOS  : 1933 mV
I_actual: 52.039 mA | RLOAD : 48.771 Ohm
--------------------------------------------------
DAC1_Target:  630 mV | DAC2_Target:   95 mV
--------------------------------------------------
VOUT_P: 4581 mV | VOUT_N: 2024 mV | Vsense:   98 mV
Vload : 2557 mV | VMOS  : 1926 mV
I_actual: 50.808 mA | RLOAD : 50.326 Ohm
--------------------------------------------------
DAC1_Target:  630 mV | DAC2_Target:   95 mV
</t>
  </si>
  <si>
    <t xml:space="preserve">--------------------------------------------------
VOUT_P: 15420 mV | VOUT_N: 2834 mV | Vsense:  502 mV
Vload : 12586 mV | VMOS  : 2332 mV
I_actual: 252.546 mA | RLOAD : 49.836 Ohm
--------------------------------------------------
DAC1_Target: 1702 mV | DAC2_Target:  495 mV
--------------------------------------------------
VOUT_P: 15421 mV | VOUT_N: 2836 mV | Vsense:  501 mV
Vload : 12585 mV | VMOS  : 2335 mV
I_actual: 251.441 mA | RLOAD : 50.051 Ohm
--------------------------------------------------
DAC1_Target: 1702 mV | DAC2_Target:  495 mV
--------------------------------------------------
VOUT_P: 15416 mV | VOUT_N: 2807 mV | Vsense:  502 mV
Vload : 12609 mV | VMOS  : 2305 mV
I_actual: 252.799 mA | RLOAD : 49.877 Ohm
--------------------------------------------------
DAC1_Target: 1702 mV | DAC2_Target:  495 mV
--------------------------------------------------
VOUT_P: 15424 mV | VOUT_N: 2857 mV | Vsense:  502 mV
Vload : 12567 mV | VMOS  : 2355 mV
I_actual: 253.106 mA | RLOAD : 49.651 Ohm
--------------------------------------------------
DAC1_Target: 1702 mV | DAC2_Target:  495 mV
--------------------------------------------------
VOUT_P: 15438 mV | VOUT_N: 2879 mV | Vsense:  502 mV
Vload : 12559 mV | VMOS  : 2377 mV
I_actual: 252.798 mA | RLOAD : 49.679 Ohm
--------------------------------------------------
DAC1_Target: 1702 mV | DAC2_Target:  495 mV
--------------------------------------------------
VOUT_P: 15424 mV | VOUT_N: 2860 mV | Vsense:  502 mV
Vload : 12564 mV | VMOS  : 2358 mV
I_actual: 252.944 mA | RLOAD : 49.671 Ohm
--------------------------------------------------
DAC1_Target: 1702 mV | DAC2_Target:  495 mV
--------------------------------------------------
VOUT_P: 15408 mV | VOUT_N: 2858 mV | Vsense:  502 mV
Vload : 12550 mV | VMOS  : 2356 mV
I_actual: 253.053 mA | RLOAD : 49.594 Ohm
--------------------------------------------------
DAC1_Target: 1702 mV | DAC2_Target:  495 mV
--------------------------------------------------
VOUT_P: 15414 mV | VOUT_N: 2844 mV | Vsense:  502 mV
Vload : 12570 mV | VMOS  : 2342 mV
I_actual: 252.903 mA | RLOAD : 49.702 Ohm
--------------------------------------------------
DAC1_Target: 1702 mV | DAC2_Target:  495 mV
--------------------------------------------------
VOUT_P: 15392 mV | VOUT_N: 2827 mV | Vsense:  502 mV
Vload : 12565 mV | VMOS  : 2325 mV
I_actual: 252.865 mA | RLOAD : 49.690 Ohm
--------------------------------------------------
DAC1_Target: 1702 mV | DAC2_Target:  495 mV
--------------------------------------------------
VOUT_P: 15432 mV | VOUT_N: 2836 mV | Vsense:  502 mV
Vload : 12596 mV | VMOS  : 2334 mV
I_actual: 252.880 mA | RLOAD : 49.810 Ohm
--------------------------------------------------
DAC1_Target: 1702 mV | DAC2_Target:  495 mV
--------------------------------------------------
VOUT_P: 15434 mV | VOUT_N: 2831 mV | Vsense:  502 mV
Vload : 12603 mV | VMOS  : 2329 mV
I_actual: 252.402 mA | RLOAD : 49.932 Ohm
--------------------------------------------------
DAC1_Target: 1702 mV | DAC2_Target:  495 mV
--------------------------------------------------
VOUT_P: 15415 mV | VOUT_N: 2835 mV | Vsense:  502 mV
Vload : 12580 mV | VMOS  : 2333 mV
I_actual: 253.437 mA | RLOAD : 49.637 Ohm
--------------------------------------------------
DAC1_Target: 1702 mV | DAC2_Target:  495 mV
--------------------------------------------------
VOUT_P: 15426 mV | VOUT_N: 2853 mV | Vsense:  502 mV
Vload : 12573 mV | VMOS  : 2351 mV
I_actual: 252.998 mA | RLOAD : 49.696 Ohm
--------------------------------------------------
DAC1_Target: 1702 mV | DAC2_Target:  495 mV
--------------------------------------------------
VOUT_P: 15408 mV | VOUT_N: 2831 mV | Vsense:  502 mV
Vload : 12577 mV | VMOS  : 2329 mV
I_actual: 252.554 mA | RLOAD : 49.799 Ohm
--------------------------------------------------
DAC1_Target: 1702 mV | DAC2_Target:  495 mV
--------------------------------------------------
VOUT_P: 15432 mV | VOUT_N: 2868 mV | Vsense:  502 mV
Vload : 12564 mV | VMOS  : 2366 mV
I_actual: 252.442 mA | RLOAD : 49.769 Ohm
--------------------------------------------------
DAC1_Target: 1702 mV | DAC2_Target:  495 mV
--------------------------------------------------
VOUT_P: 15424 mV | VOUT_N: 2882 mV | Vsense:  502 mV
Vload : 12542 mV | VMOS  : 2380 mV
I_actual: 252.139 mA | RLOAD : 49.742 Ohm
--------------------------------------------------
DAC1_Target: 1702 mV | DAC2_Target:  495 mV
--------------------------------------------------
VOUT_P: 15424 mV | VOUT_N: 2870 mV | Vsense:  501 mV
Vload : 12554 mV | VMOS  : 2369 mV
I_actual: 252.245 mA | RLOAD : 49.769 Ohm
--------------------------------------------------
DAC1_Target: 1702 mV | DAC2_Target:  495 mV
--------------------------------------------------
VOUT_P: 15432 mV | VOUT_N: 2866 mV | Vsense:  502 mV
Vload : 12566 mV | VMOS  : 2364 mV
I_actual: 252.913 mA | RLOAD : 49.685 Ohm
--------------------------------------------------
DAC1_Target: 1702 mV | DAC2_Target:  495 mV
--------------------------------------------------
VOUT_P: 15420 mV | VOUT_N: 2850 mV | Vsense:  502 mV
Vload : 12570 mV | VMOS  : 2348 mV
I_actual: 252.725 mA | RLOAD : 49.737 Ohm
--------------------------------------------------
DAC1_Target: 1702 mV | DAC2_Target:  495 mV
--------------------------------------------------
VOUT_P: 15426 mV | VOUT_N: 2842 mV | Vsense:  502 mV
Vload : 12584 mV | VMOS  : 2340 mV
I_actual: 252.242 mA | RLOAD : 49.888 Ohm
--------------------------------------------------
DAC1_Target: 1702 mV | DAC2_Target:  495 mV
--------------------------------------------------
VOUT_P: 15431 mV | VOUT_N: 2836 mV | Vsense:  502 mV
Vload : 12595 mV | VMOS  : 2334 mV
I_actual: 252.783 mA | RLOAD : 49.825 Ohm
--------------------------------------------------
DAC1_Target: 1702 mV | DAC2_Target:  495 mV
--------------------------------------------------
VOUT_P: 15417 mV | VOUT_N: 2832 mV | Vsense:  502 mV
Vload : 12585 mV | VMOS  : 2330 mV
I_actual: 252.799 mA | RLOAD : 49.782 Ohm
--------------------------------------------------
DAC1_Target: 1702 mV | DAC2_Target:  495 mV
--------------------------------------------------
VOUT_P: 15427 mV | VOUT_N: 2839 mV | Vsense:  501 mV
Vload : 12588 mV | VMOS  : 2338 mV
I_actual: 252.593 mA | RLOAD : 49.835 Ohm
--------------------------------------------------
DAC1_Target: 1702 mV | DAC2_Target:  495 mV
--------------------------------------------------
VOUT_P: 15417 mV | VOUT_N: 2830 mV | Vsense:  502 mV
Vload : 12587 mV | VMOS  : 2328 mV
I_actual: 253.153 mA | RLOAD : 49.720 Ohm
--------------------------------------------------
DAC1_Target: 1702 mV | DAC2_Target:  495 mV
--------------------------------------------------
VOUT_P: 15430 mV | VOUT_N: 2859 mV | Vsense:  502 mV
Vload : 12571 mV | VMOS  : 2357 mV
I_actual: 252.778 mA | RLOAD : 49.731 Ohm
--------------------------------------------------
DAC1_Target: 1702 mV | DAC2_Target:  495 mV
--------------------------------------------------
VOUT_P: 15417 mV | VOUT_N: 2836 mV | Vsense:  502 mV
Vload : 12581 mV | VMOS  : 2334 mV
I_actual: 252.536 mA | RLOAD : 49.818 Ohm
--------------------------------------------------
DAC1_Target: 1702 mV | DAC2_Target:  495 mV
--------------------------------------------------
VOUT_P: 15410 mV | VOUT_N: 2850 mV | Vsense:  502 mV
Vload : 12560 mV | VMOS  : 2348 mV
I_actual: 252.342 mA | RLOAD : 49.773 Ohm
--------------------------------------------------
DAC1_Target: 1702 mV | DAC2_Target:  495 mV
--------------------------------------------------
VOUT_P: 15424 mV | VOUT_N: 2857 mV | Vsense:  502 mV
Vload : 12567 mV | VMOS  : 2355 mV
I_actual: 252.877 mA | RLOAD : 49.696 Ohm
--------------------------------------------------
DAC1_Target: 1702 mV | DAC2_Target:  495 mV
--------------------------------------------------
VOUT_P: 15430 mV | VOUT_N: 2878 mV | Vsense:  502 mV
Vload : 12552 mV | VMOS  : 2376 mV
I_actual: 252.745 mA | RLOAD : 49.662 Ohm
--------------------------------------------------
DAC1_Target: 1702 mV | DAC2_Target:  495 mV
--------------------------------------------------
VOUT_P: 15426 mV | VOUT_N: 2870 mV | Vsense:  502 mV
Vload : 12556 mV | VMOS  : 2368 mV
I_actual: 252.506 mA | RLOAD : 49.725 Ohm
--------------------------------------------------
DAC1_Target: 1702 mV | DAC2_Target:  495 mV
</t>
  </si>
  <si>
    <t xml:space="preserve">--------------------------------------------------
VOUT_P: 28084 mV | VOUT_N: 2929 mV | Vsense: 1010 mV
Vload : 25155 mV | VMOS  : 1919 mV
I_actual: 506.715 mA | RLOAD : 49.643 Ohm
--------------------------------------------------
DAC1_Target: 3003 mV | DAC2_Target:  995 mV
--------------------------------------------------
VOUT_P: 28093 mV | VOUT_N: 2943 mV | Vsense: 1009 mV
Vload : 25150 mV | VMOS  : 1934 mV
I_actual: 506.241 mA | RLOAD : 49.679 Ohm
--------------------------------------------------
DAC1_Target: 3003 mV | DAC2_Target:  995 mV
--------------------------------------------------
VOUT_P: 28091 mV | VOUT_N: 2948 mV | Vsense: 1009 mV
Vload : 25143 mV | VMOS  : 1939 mV
I_actual: 506.043 mA | RLOAD : 49.685 Ohm
--------------------------------------------------
DAC1_Target: 3003 mV | DAC2_Target:  995 mV
--------------------------------------------------
VOUT_P: 28100 mV | VOUT_N: 2965 mV | Vsense: 1010 mV
Vload : 25135 mV | VMOS  : 1955 mV
I_actual: 507.054 mA | RLOAD : 49.570 Ohm
--------------------------------------------------
DAC1_Target: 3003 mV | DAC2_Target:  995 mV
--------------------------------------------------
VOUT_P: 28096 mV | VOUT_N: 2961 mV | Vsense: 1009 mV
Vload : 25135 mV | VMOS  : 1952 mV
I_actual: 506.879 mA | RLOAD : 49.587 Ohm
--------------------------------------------------
DAC1_Target: 3003 mV | DAC2_Target:  995 mV
--------------------------------------------------
VOUT_P: 28073 mV | VOUT_N: 2933 mV | Vsense: 1009 mV
Vload : 25140 mV | VMOS  : 1924 mV
I_actual: 506.903 mA | RLOAD : 49.595 Ohm
--------------------------------------------------
DAC1_Target: 3003 mV | DAC2_Target:  995 mV
--------------------------------------------------
VOUT_P: 28075 mV | VOUT_N: 2929 mV | Vsense: 1010 mV
Vload : 25146 mV | VMOS  : 1919 mV
I_actual: 506.749 mA | RLOAD : 49.622 Ohm
--------------------------------------------------
DAC1_Target: 3003 mV | DAC2_Target:  995 mV
--------------------------------------------------
VOUT_P: 28089 mV | VOUT_N: 2925 mV | Vsense: 1010 mV
Vload : 25164 mV | VMOS  : 1915 mV
I_actual: 506.785 mA | RLOAD : 49.654 Ohm
--------------------------------------------------
DAC1_Target: 3003 mV | DAC2_Target:  995 mV
--------------------------------------------------
VOUT_P: 28082 mV | VOUT_N: 2894 mV | Vsense: 1009 mV
Vload : 25188 mV | VMOS  : 1885 mV
I_actual: 507.128 mA | RLOAD : 49.667 Ohm
--------------------------------------------------
DAC1_Target: 3003 mV | DAC2_Target:  995 mV
--------------------------------------------------
VOUT_P: 28089 mV | VOUT_N: 2932 mV | Vsense: 1010 mV
Vload : 25157 mV | VMOS  : 1922 mV
I_actual: 507.137 mA | RLOAD : 49.605 Ohm
--------------------------------------------------
DAC1_Target: 3003 mV | DAC2_Target:  995 mV
--------------------------------------------------
VOUT_P: 28089 mV | VOUT_N: 2909 mV | Vsense: 1009 mV
Vload : 25180 mV | VMOS  : 1900 mV
I_actual: 506.785 mA | RLOAD : 49.685 Ohm
--------------------------------------------------
DAC1_Target: 3003 mV | DAC2_Target:  995 mV
--------------------------------------------------
VOUT_P: 28093 mV | VOUT_N: 2930 mV | Vsense: 1010 mV
Vload : 25163 mV | VMOS  : 1920 mV
I_actual: 507.039 mA | RLOAD : 49.627 Ohm
--------------------------------------------------
DAC1_Target: 3003 mV | DAC2_Target:  995 mV
--------------------------------------------------
VOUT_P: 28071 mV | VOUT_N: 2914 mV | Vsense: 1010 mV
Vload : 25157 mV | VMOS  : 1904 mV
I_actual: 506.816 mA | RLOAD : 49.637 Ohm
--------------------------------------------------
DAC1_Target: 3003 mV | DAC2_Target:  995 mV
--------------------------------------------------
VOUT_P: 28080 mV | VOUT_N: 2911 mV | Vsense: 1010 mV
Vload : 25169 mV | VMOS  : 1901 mV
I_actual: 506.689 mA | RLOAD : 49.673 Ohm
--------------------------------------------------
DAC1_Target: 3003 mV | DAC2_Target:  995 mV
--------------------------------------------------
VOUT_P: 28082 mV | VOUT_N: 2922 mV | Vsense: 1009 mV
Vload : 25160 mV | VMOS  : 1913 mV
I_actual: 506.431 mA | RLOAD : 49.681 Ohm
--------------------------------------------------
DAC1_Target: 3003 mV | DAC2_Target:  995 mV
--------------------------------------------------
VOUT_P: 28086 mV | VOUT_N: 2918 mV | Vsense: 1011 mV
Vload : 25168 mV | VMOS  : 1907 mV
I_actual: 507.051 mA | RLOAD : 49.636 Ohm
--------------------------------------------------
DAC1_Target: 3003 mV | DAC2_Target:  995 mV
--------------------------------------------------
VOUT_P: 28086 mV | VOUT_N: 2925 mV | Vsense: 1010 mV
Vload : 25161 mV | VMOS  : 1915 mV
I_actual: 506.407 mA | RLOAD : 49.685 Ohm
--------------------------------------------------
DAC1_Target: 3003 mV | DAC2_Target:  995 mV
--------------------------------------------------
VOUT_P: 28089 mV | VOUT_N: 2956 mV | Vsense: 1010 mV
Vload : 25133 mV | VMOS  : 1946 mV
I_actual: 506.802 mA | RLOAD : 49.591 Ohm
--------------------------------------------------
DAC1_Target: 3003 mV | DAC2_Target:  995 mV
--------------------------------------------------
VOUT_P: 28097 mV | VOUT_N: 2970 mV | Vsense: 1010 mV
Vload : 25127 mV | VMOS  : 1960 mV
I_actual: 507.046 mA | RLOAD : 49.555 Ohm
--------------------------------------------------
DAC1_Target: 3003 mV | DAC2_Target:  995 mV
--------------------------------------------------
VOUT_P: 28114 mV | VOUT_N: 2969 mV | Vsense: 1010 mV
Vload : 25145 mV | VMOS  : 1959 mV
I_actual: 507.327 mA | RLOAD : 49.563 Ohm
--------------------------------------------------
DAC1_Target: 3003 mV | DAC2_Target:  995 mV
--------------------------------------------------
VOUT_P: 28093 mV | VOUT_N: 2951 mV | Vsense: 1010 mV
Vload : 25142 mV | VMOS  : 1941 mV
I_actual: 506.429 mA | RLOAD : 49.645 Ohm
--------------------------------------------------
DAC1_Target: 3003 mV | DAC2_Target:  995 mV
--------------------------------------------------
VOUT_P: 28079 mV | VOUT_N: 2948 mV | Vsense: 1010 mV
Vload : 25131 mV | VMOS  : 1938 mV
I_actual: 506.401 mA | RLOAD : 49.626 Ohm
--------------------------------------------------
DAC1_Target: 3003 mV | DAC2_Target:  995 mV
--------------------------------------------------
VOUT_P: 28076 mV | VOUT_N: 2949 mV | Vsense: 1010 mV
Vload : 25127 mV | VMOS  : 1939 mV
I_actual: 506.886 mA | RLOAD : 49.571 Ohm
--------------------------------------------------
DAC1_Target: 3003 mV | DAC2_Target:  995 mV
--------------------------------------------------
VOUT_P: 28090 mV | VOUT_N: 2945 mV | Vsense: 1010 mV
Vload : 25145 mV | VMOS  : 1935 mV
I_actual: 506.831 mA | RLOAD : 49.612 Ohm
--------------------------------------------------
DAC1_Target: 3003 mV | DAC2_Target:  995 mV
--------------------------------------------------
VOUT_P: 28089 mV | VOUT_N: 2932 mV | Vsense: 1010 mV
Vload : 25157 mV | VMOS  : 1922 mV
I_actual: 506.942 mA | RLOAD : 49.625 Ohm
--------------------------------------------------
DAC1_Target: 3003 mV | DAC2_Target:  995 mV
--------------------------------------------------
VOUT_P: 28109 mV | VOUT_N: 2933 mV | Vsense: 1010 mV
Vload : 25176 mV | VMOS  : 1923 mV
I_actual: 506.857 mA | RLOAD : 49.670 Ohm
--------------------------------------------------
DAC1_Target: 3003 mV | DAC2_Target:  995 mV
--------------------------------------------------
VOUT_P: 28071 mV | VOUT_N: 2911 mV | Vsense: 1009 mV
Vload : 25160 mV | VMOS  : 1902 mV
I_actual: 507.039 mA | RLOAD : 49.621 Ohm
--------------------------------------------------
DAC1_Target: 3003 mV | DAC2_Target:  995 mV
--------------------------------------------------
VOUT_P: 28089 mV | VOUT_N: 2932 mV | Vsense: 1009 mV
Vload : 25157 mV | VMOS  : 1923 mV
I_actual: 506.400 mA | RLOAD : 49.678 Ohm
--------------------------------------------------
DAC1_Target: 3003 mV | DAC2_Target:  995 mV
--------------------------------------------------
VOUT_P: 28093 mV | VOUT_N: 2928 mV | Vsense: 1010 mV
Vload : 25165 mV | VMOS  : 1918 mV
I_actual: 506.871 mA | RLOAD : 49.647 Ohm
--------------------------------------------------
DAC1_Target: 3003 mV | DAC2_Target:  995 mV
--------------------------------------------------
VOUT_P: 28075 mV | VOUT_N: 2916 mV | Vsense: 1010 mV
Vload : 25159 mV | VMOS  : 1906 mV
I_actual: 507.146 mA | RLOAD : 49.608 Ohm
--------------------------------------------------
DAC1_Target: 3003 mV | DAC2_Target:  995 mV
--------------------------------------------------
VOUT_P: 28089 mV | VOUT_N: 2930 mV | Vsense: 1010 mV
Vload : 25159 mV | VMOS  : 1920 mV
I_actual: 507.082 mA | RLOAD : 49.615 Ohm
--------------------------------------------------
DAC1_Target: 3003 mV | DAC2_Target:  995 mV
</t>
  </si>
  <si>
    <t>I/mA</t>
  </si>
  <si>
    <t>纹波/mV</t>
  </si>
  <si>
    <t>DAC1(45/50)</t>
    <phoneticPr fontId="2" type="noConversion"/>
  </si>
  <si>
    <t>DAC1(30)(mos=1.5V)</t>
    <phoneticPr fontId="2" type="noConversion"/>
  </si>
  <si>
    <t>Iset</t>
    <phoneticPr fontId="4" type="noConversion"/>
  </si>
  <si>
    <t>deltaI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</si>
</sst>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0_ "/>
    <numFmt numFmtId="179" formatCode="0.00_ "/>
  </numFmts>
  <fonts count="5" x14ac:knownFonts="1">
    <font>
      <sz val="11"/>
      <color theme="1"/>
      <name val="宋体"/>
      <charset val="134"/>
      <scheme val="minor"/>
    </font>
    <font>
      <sz val="10.199999999999999"/>
      <color rgb="FF000000"/>
      <name val="Consolas"/>
      <family val="3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72994599411004"/>
                  <c:y val="1.57604587029952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Sheet3!$A$5:$A$19</c:f>
              <c:numCache>
                <c:formatCode>General</c:formatCode>
                <c:ptCount val="15"/>
                <c:pt idx="0">
                  <c:v>-3.7</c:v>
                </c:pt>
                <c:pt idx="1">
                  <c:v>-2.5</c:v>
                </c:pt>
                <c:pt idx="2">
                  <c:v>-1.5</c:v>
                </c:pt>
                <c:pt idx="3">
                  <c:v>-0.3</c:v>
                </c:pt>
                <c:pt idx="4">
                  <c:v>0.9</c:v>
                </c:pt>
                <c:pt idx="5">
                  <c:v>1.7</c:v>
                </c:pt>
                <c:pt idx="6">
                  <c:v>2</c:v>
                </c:pt>
                <c:pt idx="7">
                  <c:v>3</c:v>
                </c:pt>
                <c:pt idx="8">
                  <c:v>3.1</c:v>
                </c:pt>
                <c:pt idx="9">
                  <c:v>2.8</c:v>
                </c:pt>
                <c:pt idx="11">
                  <c:v>3.5</c:v>
                </c:pt>
                <c:pt idx="14">
                  <c:v>4.3</c:v>
                </c:pt>
              </c:numCache>
            </c:numRef>
          </c:xVal>
          <c:yVal>
            <c:numRef>
              <c:f>Sheet3!$B$5:$B$19</c:f>
              <c:numCache>
                <c:formatCode>General</c:formatCode>
                <c:ptCount val="15"/>
                <c:pt idx="0">
                  <c:v>450</c:v>
                </c:pt>
                <c:pt idx="1">
                  <c:v>400</c:v>
                </c:pt>
                <c:pt idx="2">
                  <c:v>350</c:v>
                </c:pt>
                <c:pt idx="3">
                  <c:v>300</c:v>
                </c:pt>
                <c:pt idx="4">
                  <c:v>250</c:v>
                </c:pt>
                <c:pt idx="5">
                  <c:v>200</c:v>
                </c:pt>
                <c:pt idx="6">
                  <c:v>150</c:v>
                </c:pt>
                <c:pt idx="7">
                  <c:v>100</c:v>
                </c:pt>
                <c:pt idx="8">
                  <c:v>90</c:v>
                </c:pt>
                <c:pt idx="9">
                  <c:v>80</c:v>
                </c:pt>
                <c:pt idx="11">
                  <c:v>60</c:v>
                </c:pt>
                <c:pt idx="1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2-4B43-AE50-3BC5AE784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897088"/>
        <c:axId val="919899584"/>
      </c:scatterChart>
      <c:valAx>
        <c:axId val="91989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9899584"/>
        <c:crosses val="autoZero"/>
        <c:crossBetween val="midCat"/>
      </c:valAx>
      <c:valAx>
        <c:axId val="9198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989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6488</xdr:colOff>
      <xdr:row>4</xdr:row>
      <xdr:rowOff>144117</xdr:rowOff>
    </xdr:from>
    <xdr:to>
      <xdr:col>12</xdr:col>
      <xdr:colOff>309079</xdr:colOff>
      <xdr:row>20</xdr:row>
      <xdr:rowOff>43622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AA6B2BF-F9C0-4AEE-ACCA-CDDF5160F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7" sqref="A7"/>
    </sheetView>
  </sheetViews>
  <sheetFormatPr defaultColWidth="9.54296875" defaultRowHeight="14" x14ac:dyDescent="0.25"/>
  <cols>
    <col min="1" max="1" width="20.453125" style="1" customWidth="1"/>
    <col min="2" max="2" width="11.6328125" style="1" customWidth="1"/>
    <col min="3" max="5" width="9.54296875" style="1"/>
    <col min="6" max="6" width="12.90625" style="1" customWidth="1"/>
    <col min="7" max="7" width="16.81640625" style="1" customWidth="1"/>
    <col min="8" max="8" width="22" style="1" customWidth="1"/>
    <col min="9" max="9" width="17.81640625" style="1" customWidth="1"/>
    <col min="10" max="10" width="14.453125" style="1" customWidth="1"/>
    <col min="11" max="11" width="16.08984375" style="1" customWidth="1"/>
    <col min="12" max="12" width="15.1796875" style="1" customWidth="1"/>
    <col min="13" max="13" width="18.36328125" style="1" customWidth="1"/>
    <col min="14" max="16384" width="9.54296875" style="1"/>
  </cols>
  <sheetData>
    <row r="1" spans="1:13" x14ac:dyDescent="0.25">
      <c r="A1" s="8" t="s">
        <v>17</v>
      </c>
      <c r="B1" s="8" t="s">
        <v>16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1">
        <f>(E2*0.032+3.297554)/10.012879</f>
        <v>0.32933125427761584</v>
      </c>
      <c r="B2" s="1">
        <f>(E2*0.047+3.8)/10</f>
        <v>0.38</v>
      </c>
      <c r="C2" s="1">
        <v>2.69</v>
      </c>
      <c r="D2" s="1">
        <v>0</v>
      </c>
      <c r="E2" s="1">
        <v>0</v>
      </c>
      <c r="F2" s="1">
        <v>1.33</v>
      </c>
      <c r="G2" s="1">
        <v>0</v>
      </c>
      <c r="H2" s="1">
        <v>0.80500000000000005</v>
      </c>
      <c r="I2" s="1">
        <v>2.0019999999999998</v>
      </c>
      <c r="J2" s="1">
        <v>1.9390000000000001</v>
      </c>
      <c r="K2" s="1">
        <v>2.0030000000000001</v>
      </c>
      <c r="L2" s="1">
        <v>1.9590000000000001</v>
      </c>
      <c r="M2" s="1">
        <v>45</v>
      </c>
    </row>
    <row r="3" spans="1:13" x14ac:dyDescent="0.25">
      <c r="A3" s="1">
        <f t="shared" ref="A3:A16" si="0">(E3*0.032+3.297554)/10.012879</f>
        <v>0.36129009448730975</v>
      </c>
      <c r="B3" s="1">
        <f>(E3*0.047+3.8)/10</f>
        <v>0.42699999999999994</v>
      </c>
      <c r="C3" s="1">
        <v>20.28</v>
      </c>
      <c r="D3" s="1">
        <v>17</v>
      </c>
      <c r="E3" s="1">
        <v>10</v>
      </c>
      <c r="F3" s="1">
        <v>10.08</v>
      </c>
      <c r="G3" s="1">
        <v>15</v>
      </c>
      <c r="H3" s="1">
        <v>10.233000000000001</v>
      </c>
      <c r="I3" s="1">
        <v>2.4940000000000002</v>
      </c>
      <c r="J3" s="1">
        <v>2.0179999999999998</v>
      </c>
      <c r="K3" s="1">
        <v>2.5030000000000001</v>
      </c>
      <c r="L3" s="1">
        <v>2.0390000000000001</v>
      </c>
      <c r="M3" s="1">
        <v>45</v>
      </c>
    </row>
    <row r="4" spans="1:13" x14ac:dyDescent="0.25">
      <c r="A4" s="1">
        <f t="shared" si="0"/>
        <v>0.39324893469700373</v>
      </c>
      <c r="B4" s="1">
        <f t="shared" ref="B4:B16" si="1">(E4*0.047+3.8)/10</f>
        <v>0.47400000000000003</v>
      </c>
      <c r="C4" s="1">
        <v>40.64</v>
      </c>
      <c r="D4" s="1">
        <v>37</v>
      </c>
      <c r="E4" s="1">
        <v>20</v>
      </c>
      <c r="F4" s="1">
        <v>20.190000000000001</v>
      </c>
      <c r="G4" s="1">
        <v>37</v>
      </c>
      <c r="H4" s="1">
        <v>20.576000000000001</v>
      </c>
      <c r="I4" s="1">
        <v>2.9670000000000001</v>
      </c>
      <c r="J4" s="1">
        <v>2.0230000000000001</v>
      </c>
      <c r="K4" s="1">
        <v>3</v>
      </c>
      <c r="L4" s="1">
        <v>2.052</v>
      </c>
      <c r="M4" s="1">
        <v>45</v>
      </c>
    </row>
    <row r="5" spans="1:13" x14ac:dyDescent="0.25">
      <c r="A5" s="1">
        <f t="shared" si="0"/>
        <v>0.42520777490669764</v>
      </c>
      <c r="B5" s="1">
        <f t="shared" si="1"/>
        <v>0.52100000000000002</v>
      </c>
      <c r="C5" s="1">
        <v>60.56</v>
      </c>
      <c r="D5" s="1">
        <v>58</v>
      </c>
      <c r="E5" s="1">
        <v>30</v>
      </c>
      <c r="F5" s="1">
        <v>30.1</v>
      </c>
      <c r="G5" s="1">
        <v>57</v>
      </c>
      <c r="H5" s="1">
        <v>30.79</v>
      </c>
      <c r="I5" s="1">
        <v>3.431</v>
      </c>
      <c r="J5" s="1">
        <v>2.0150000000000001</v>
      </c>
      <c r="K5" s="1">
        <v>3.4740000000000002</v>
      </c>
      <c r="L5" s="1">
        <v>2.0379999999999998</v>
      </c>
      <c r="M5" s="1">
        <v>45</v>
      </c>
    </row>
    <row r="6" spans="1:13" x14ac:dyDescent="0.25">
      <c r="A6" s="1">
        <f t="shared" si="0"/>
        <v>0.45716661511639162</v>
      </c>
      <c r="B6" s="1">
        <f t="shared" si="1"/>
        <v>0.56799999999999995</v>
      </c>
      <c r="C6" s="1">
        <v>80.08</v>
      </c>
      <c r="D6" s="1">
        <v>77</v>
      </c>
      <c r="E6" s="1">
        <v>40</v>
      </c>
      <c r="F6" s="1">
        <v>39.799999999999997</v>
      </c>
      <c r="G6" s="1">
        <v>77</v>
      </c>
      <c r="H6" s="1">
        <v>40.343000000000004</v>
      </c>
      <c r="I6" s="1">
        <v>3.8919999999999999</v>
      </c>
      <c r="J6" s="1">
        <v>2.0329999999999999</v>
      </c>
      <c r="K6" s="1">
        <v>3.93</v>
      </c>
      <c r="L6">
        <v>2.052</v>
      </c>
      <c r="M6" s="1">
        <v>45</v>
      </c>
    </row>
    <row r="7" spans="1:13" x14ac:dyDescent="0.25">
      <c r="A7" s="1">
        <f t="shared" si="0"/>
        <v>0.48912545532608548</v>
      </c>
      <c r="B7" s="1">
        <f t="shared" si="1"/>
        <v>0.61499999999999999</v>
      </c>
      <c r="C7" s="1">
        <v>99.71</v>
      </c>
      <c r="D7" s="1">
        <v>97</v>
      </c>
      <c r="E7" s="1">
        <v>50</v>
      </c>
      <c r="F7" s="1">
        <v>49.56</v>
      </c>
      <c r="G7" s="1">
        <v>97</v>
      </c>
      <c r="H7" s="1">
        <v>50.017000000000003</v>
      </c>
      <c r="I7" s="1">
        <v>4.3710000000000004</v>
      </c>
      <c r="J7" s="1">
        <v>2.0529999999999999</v>
      </c>
      <c r="K7" s="1">
        <v>4.4290000000000003</v>
      </c>
      <c r="L7" s="1">
        <v>2.081</v>
      </c>
      <c r="M7" s="1">
        <v>45</v>
      </c>
    </row>
    <row r="8" spans="1:13" x14ac:dyDescent="0.25">
      <c r="A8" s="1">
        <f t="shared" si="0"/>
        <v>0.64891965637455518</v>
      </c>
      <c r="B8" s="1">
        <f t="shared" si="1"/>
        <v>0.85</v>
      </c>
      <c r="C8" s="1">
        <v>200.66</v>
      </c>
      <c r="D8" s="1">
        <v>199</v>
      </c>
      <c r="E8" s="1">
        <v>100</v>
      </c>
      <c r="F8" s="1">
        <v>99.66</v>
      </c>
      <c r="G8" s="1">
        <v>197</v>
      </c>
      <c r="H8" s="1">
        <v>102.346</v>
      </c>
      <c r="I8" s="1">
        <v>6.6920000000000002</v>
      </c>
      <c r="J8" s="1">
        <v>2.0329999999999999</v>
      </c>
      <c r="K8" s="1">
        <v>6.7850000000000001</v>
      </c>
      <c r="L8" s="1">
        <v>2.052</v>
      </c>
      <c r="M8" s="1">
        <v>45</v>
      </c>
    </row>
    <row r="9" spans="1:13" x14ac:dyDescent="0.25">
      <c r="A9" s="1">
        <f t="shared" si="0"/>
        <v>0.80871385742302482</v>
      </c>
      <c r="B9" s="1">
        <f t="shared" si="1"/>
        <v>1.085</v>
      </c>
      <c r="C9" s="1">
        <v>300.43</v>
      </c>
      <c r="D9" s="1">
        <v>297</v>
      </c>
      <c r="E9" s="1">
        <v>150</v>
      </c>
      <c r="F9" s="1">
        <v>149.33000000000001</v>
      </c>
      <c r="G9" s="1">
        <v>302</v>
      </c>
      <c r="H9" s="1">
        <v>152.262</v>
      </c>
      <c r="I9" s="4">
        <v>9</v>
      </c>
      <c r="J9" s="4">
        <v>2.04</v>
      </c>
      <c r="K9" s="1">
        <v>9.1549999999999994</v>
      </c>
      <c r="L9" s="1">
        <v>2.0670000000000002</v>
      </c>
      <c r="M9" s="1">
        <v>45</v>
      </c>
    </row>
    <row r="10" spans="1:13" x14ac:dyDescent="0.25">
      <c r="A10" s="1">
        <f t="shared" si="0"/>
        <v>0.96850805847149457</v>
      </c>
      <c r="B10" s="1">
        <f t="shared" si="1"/>
        <v>1.3199999999999998</v>
      </c>
      <c r="C10" s="1">
        <v>399.72</v>
      </c>
      <c r="D10" s="1">
        <v>396</v>
      </c>
      <c r="E10" s="1">
        <v>200</v>
      </c>
      <c r="F10" s="1">
        <v>198.67</v>
      </c>
      <c r="G10" s="1">
        <v>404</v>
      </c>
      <c r="H10" s="1">
        <v>203.14699999999999</v>
      </c>
      <c r="I10" s="1">
        <v>11.395</v>
      </c>
      <c r="J10" s="1">
        <v>2.1379999999999999</v>
      </c>
      <c r="K10" s="1">
        <v>11.619</v>
      </c>
      <c r="L10" s="1">
        <v>2.1640000000000001</v>
      </c>
      <c r="M10" s="1">
        <v>45</v>
      </c>
    </row>
    <row r="11" spans="1:13" x14ac:dyDescent="0.25">
      <c r="A11" s="1">
        <f t="shared" si="0"/>
        <v>1.1283022595199643</v>
      </c>
      <c r="B11" s="1">
        <f t="shared" si="1"/>
        <v>1.5550000000000002</v>
      </c>
      <c r="C11" s="1">
        <v>499.75</v>
      </c>
      <c r="D11" s="1">
        <v>495</v>
      </c>
      <c r="E11" s="1">
        <v>250</v>
      </c>
      <c r="F11" s="1">
        <v>248.56</v>
      </c>
      <c r="G11" s="1">
        <v>505</v>
      </c>
      <c r="H11" s="1">
        <v>254.505</v>
      </c>
      <c r="I11" s="1">
        <v>13.744999999999999</v>
      </c>
      <c r="J11" s="1">
        <v>2.4260000000000002</v>
      </c>
      <c r="K11" s="1">
        <v>14.000999999999999</v>
      </c>
      <c r="L11" s="1">
        <v>2.448</v>
      </c>
      <c r="M11" s="1">
        <v>45</v>
      </c>
    </row>
    <row r="12" spans="1:13" x14ac:dyDescent="0.25">
      <c r="A12" s="1">
        <f t="shared" si="0"/>
        <v>1.288096460568434</v>
      </c>
      <c r="B12" s="1">
        <f t="shared" si="1"/>
        <v>1.7899999999999998</v>
      </c>
      <c r="C12" s="5">
        <v>600.20000000000005</v>
      </c>
      <c r="D12" s="1">
        <v>596</v>
      </c>
      <c r="E12" s="1">
        <v>300</v>
      </c>
      <c r="F12" s="1">
        <v>298.39999999999998</v>
      </c>
      <c r="G12" s="1">
        <v>606</v>
      </c>
      <c r="H12" s="1">
        <v>305.017</v>
      </c>
      <c r="I12" s="1">
        <v>16.111999999999998</v>
      </c>
      <c r="J12" s="1">
        <v>1.222</v>
      </c>
      <c r="K12" s="1">
        <v>16.318000000000001</v>
      </c>
      <c r="L12" s="1">
        <v>1.2549999999999999</v>
      </c>
      <c r="M12" s="1">
        <v>49.6</v>
      </c>
    </row>
    <row r="13" spans="1:13" x14ac:dyDescent="0.25">
      <c r="A13" s="1">
        <f t="shared" si="0"/>
        <v>1.4478906616169036</v>
      </c>
      <c r="B13" s="1">
        <f t="shared" si="1"/>
        <v>2.0249999999999999</v>
      </c>
      <c r="C13" s="1">
        <v>700.3</v>
      </c>
      <c r="D13" s="1">
        <v>697</v>
      </c>
      <c r="E13" s="1">
        <v>350</v>
      </c>
      <c r="F13" s="1">
        <v>348.2</v>
      </c>
      <c r="G13" s="1">
        <v>705</v>
      </c>
      <c r="H13" s="1">
        <v>354.61500000000001</v>
      </c>
      <c r="I13" s="1">
        <v>18.446000000000002</v>
      </c>
      <c r="J13" s="1">
        <v>1.0760000000000001</v>
      </c>
      <c r="K13" s="1">
        <v>18.727</v>
      </c>
      <c r="L13" s="1">
        <v>1.123</v>
      </c>
      <c r="M13" s="1">
        <v>49.6</v>
      </c>
    </row>
    <row r="14" spans="1:13" x14ac:dyDescent="0.25">
      <c r="A14" s="1">
        <f t="shared" si="0"/>
        <v>1.6076848626653735</v>
      </c>
      <c r="B14" s="1">
        <f t="shared" si="1"/>
        <v>2.2600000000000002</v>
      </c>
      <c r="C14" s="1">
        <v>800.37</v>
      </c>
      <c r="D14" s="1">
        <v>795</v>
      </c>
      <c r="E14" s="1">
        <v>400</v>
      </c>
      <c r="F14" s="1">
        <v>398</v>
      </c>
      <c r="G14" s="1">
        <v>807</v>
      </c>
      <c r="H14" s="4">
        <v>404.88</v>
      </c>
      <c r="I14" s="1">
        <v>20.832000000000001</v>
      </c>
      <c r="J14" s="1">
        <v>0.98499999999999999</v>
      </c>
      <c r="K14" s="1">
        <v>21.117000000000001</v>
      </c>
      <c r="L14" s="4">
        <v>1</v>
      </c>
      <c r="M14" s="1">
        <v>49.6</v>
      </c>
    </row>
    <row r="15" spans="1:13" s="3" customFormat="1" x14ac:dyDescent="0.25">
      <c r="A15" s="1">
        <f t="shared" si="0"/>
        <v>1.7674790637138429</v>
      </c>
      <c r="B15" s="3">
        <f t="shared" si="1"/>
        <v>2.4950000000000001</v>
      </c>
      <c r="C15" s="3">
        <v>900.8</v>
      </c>
      <c r="D15" s="3">
        <v>897</v>
      </c>
      <c r="E15" s="3">
        <v>450</v>
      </c>
      <c r="F15" s="3">
        <v>447.9</v>
      </c>
      <c r="G15" s="3">
        <v>909</v>
      </c>
      <c r="H15" s="3">
        <v>456.96899999999999</v>
      </c>
      <c r="I15" s="6">
        <v>23.417000000000002</v>
      </c>
      <c r="J15" s="3">
        <v>1.087</v>
      </c>
      <c r="K15" s="3">
        <v>23.719000000000001</v>
      </c>
      <c r="L15" s="3">
        <v>1.1359999999999999</v>
      </c>
      <c r="M15" s="3">
        <v>49.6</v>
      </c>
    </row>
    <row r="16" spans="1:13" x14ac:dyDescent="0.25">
      <c r="A16" s="1">
        <f t="shared" si="0"/>
        <v>1.9272732647623125</v>
      </c>
      <c r="B16" s="1">
        <f t="shared" si="1"/>
        <v>2.73</v>
      </c>
      <c r="C16" s="1">
        <v>1000.6</v>
      </c>
      <c r="D16" s="1">
        <v>996</v>
      </c>
      <c r="E16" s="1">
        <v>500</v>
      </c>
      <c r="F16" s="1">
        <v>497.5</v>
      </c>
      <c r="G16" s="1">
        <v>1011</v>
      </c>
      <c r="H16" s="1">
        <v>507.66699999999997</v>
      </c>
      <c r="I16" s="1">
        <v>27.724</v>
      </c>
      <c r="J16" s="1">
        <v>2.9129999999999998</v>
      </c>
      <c r="K16" s="4">
        <v>28.1</v>
      </c>
      <c r="L16" s="1">
        <v>2.9750000000000001</v>
      </c>
      <c r="M16" s="1">
        <v>49.6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"/>
  <sheetViews>
    <sheetView workbookViewId="0">
      <selection activeCell="E31" sqref="E31"/>
    </sheetView>
  </sheetViews>
  <sheetFormatPr defaultColWidth="9" defaultRowHeight="14" x14ac:dyDescent="0.25"/>
  <cols>
    <col min="1" max="1" width="9" style="1"/>
    <col min="2" max="2" width="13.90625" style="1" customWidth="1"/>
    <col min="3" max="4" width="9" style="1"/>
    <col min="5" max="5" width="15.1796875" style="1" customWidth="1"/>
    <col min="6" max="16384" width="9" style="1"/>
  </cols>
  <sheetData>
    <row r="1" spans="2:6" x14ac:dyDescent="0.25">
      <c r="B1" s="1" t="s">
        <v>0</v>
      </c>
      <c r="C1" s="1" t="s">
        <v>1</v>
      </c>
      <c r="D1" s="1" t="s">
        <v>2</v>
      </c>
      <c r="E1" s="2" t="s">
        <v>3</v>
      </c>
    </row>
    <row r="2" spans="2:6" ht="409.5" x14ac:dyDescent="0.25">
      <c r="B2" s="1">
        <v>99.7</v>
      </c>
      <c r="D2" s="1">
        <v>50</v>
      </c>
      <c r="F2" s="7" t="s">
        <v>11</v>
      </c>
    </row>
    <row r="3" spans="2:6" ht="409.5" x14ac:dyDescent="0.25">
      <c r="B3" s="1">
        <v>499.7</v>
      </c>
      <c r="D3" s="1">
        <v>250</v>
      </c>
      <c r="F3" s="7" t="s">
        <v>12</v>
      </c>
    </row>
    <row r="4" spans="2:6" ht="409.5" x14ac:dyDescent="0.25">
      <c r="B4" s="1">
        <v>1000.71</v>
      </c>
      <c r="D4" s="1">
        <v>500</v>
      </c>
      <c r="F4" s="7" t="s">
        <v>13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"/>
    </sheetView>
  </sheetViews>
  <sheetFormatPr defaultColWidth="9" defaultRowHeight="14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50</v>
      </c>
      <c r="B2">
        <v>5</v>
      </c>
    </row>
    <row r="3" spans="1:2" x14ac:dyDescent="0.25">
      <c r="A3">
        <v>250</v>
      </c>
    </row>
    <row r="4" spans="1:2" x14ac:dyDescent="0.25">
      <c r="A4">
        <v>500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4223-4ECA-4AD7-AFC2-E15C0394F899}">
  <dimension ref="A1:B19"/>
  <sheetViews>
    <sheetView topLeftCell="A2" zoomScale="94" workbookViewId="0">
      <selection activeCell="E10" sqref="E10"/>
    </sheetView>
  </sheetViews>
  <sheetFormatPr defaultRowHeight="14" x14ac:dyDescent="0.25"/>
  <sheetData>
    <row r="1" spans="1:2" x14ac:dyDescent="0.25">
      <c r="A1" s="9" t="s">
        <v>19</v>
      </c>
      <c r="B1" s="9" t="s">
        <v>18</v>
      </c>
    </row>
    <row r="5" spans="1:2" x14ac:dyDescent="0.25">
      <c r="A5">
        <v>-3.7</v>
      </c>
      <c r="B5">
        <v>450</v>
      </c>
    </row>
    <row r="6" spans="1:2" x14ac:dyDescent="0.25">
      <c r="A6">
        <v>-2.5</v>
      </c>
      <c r="B6">
        <v>400</v>
      </c>
    </row>
    <row r="7" spans="1:2" x14ac:dyDescent="0.25">
      <c r="A7">
        <v>-1.5</v>
      </c>
      <c r="B7">
        <v>350</v>
      </c>
    </row>
    <row r="8" spans="1:2" x14ac:dyDescent="0.25">
      <c r="A8">
        <v>-0.3</v>
      </c>
      <c r="B8">
        <v>300</v>
      </c>
    </row>
    <row r="9" spans="1:2" x14ac:dyDescent="0.25">
      <c r="A9">
        <v>0.9</v>
      </c>
      <c r="B9">
        <v>250</v>
      </c>
    </row>
    <row r="10" spans="1:2" x14ac:dyDescent="0.25">
      <c r="A10">
        <v>1.7</v>
      </c>
      <c r="B10">
        <v>200</v>
      </c>
    </row>
    <row r="11" spans="1:2" x14ac:dyDescent="0.25">
      <c r="A11">
        <v>2</v>
      </c>
      <c r="B11">
        <v>150</v>
      </c>
    </row>
    <row r="12" spans="1:2" x14ac:dyDescent="0.25">
      <c r="A12">
        <v>3</v>
      </c>
      <c r="B12">
        <v>100</v>
      </c>
    </row>
    <row r="13" spans="1:2" x14ac:dyDescent="0.25">
      <c r="A13">
        <v>3.1</v>
      </c>
      <c r="B13">
        <v>90</v>
      </c>
    </row>
    <row r="14" spans="1:2" x14ac:dyDescent="0.25">
      <c r="A14">
        <v>2.8</v>
      </c>
      <c r="B14">
        <v>80</v>
      </c>
    </row>
    <row r="16" spans="1:2" x14ac:dyDescent="0.25">
      <c r="A16">
        <v>3.5</v>
      </c>
      <c r="B16">
        <v>60</v>
      </c>
    </row>
    <row r="19" spans="1:2" x14ac:dyDescent="0.25">
      <c r="A19">
        <v>4.3</v>
      </c>
      <c r="B19">
        <v>30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新建 XLS 工作表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欣雅 刘</cp:lastModifiedBy>
  <dcterms:created xsi:type="dcterms:W3CDTF">2026-06-02T11:15:10Z</dcterms:created>
  <dcterms:modified xsi:type="dcterms:W3CDTF">2026-06-06T07:21:44Z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1B01AE3CA3A1458BBC3952219909BBF4_13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